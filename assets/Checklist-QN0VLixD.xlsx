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an\Desktop\"/>
    </mc:Choice>
  </mc:AlternateContent>
  <xr:revisionPtr revIDLastSave="0" documentId="8_{FC86A36D-A94E-4BC3-994A-E47C18A92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 nam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10" i="3"/>
  <c r="E9" i="3"/>
  <c r="E8" i="3"/>
  <c r="B8" i="3"/>
  <c r="E7" i="3"/>
  <c r="B7" i="3"/>
  <c r="E6" i="3"/>
  <c r="B6" i="3"/>
  <c r="E5" i="3"/>
  <c r="B5" i="3"/>
  <c r="E4" i="3"/>
  <c r="B4" i="3"/>
</calcChain>
</file>

<file path=xl/sharedStrings.xml><?xml version="1.0" encoding="utf-8"?>
<sst xmlns="http://schemas.openxmlformats.org/spreadsheetml/2006/main" count="867" uniqueCount="233">
  <si>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</si>
  <si>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</si>
  <si>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</si>
  <si>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</si>
  <si>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</si>
  <si>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</si>
  <si>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</si>
  <si>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</si>
  <si>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</si>
  <si>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</si>
  <si>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</si>
  <si>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</si>
  <si>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</si>
  <si>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</si>
  <si>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</si>
  <si>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</si>
  <si>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</si>
  <si>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</si>
  <si>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-TAsgxPlSUCBv7DeVudijckAHH2S</t>
  </si>
  <si>
    <t>Define objectives and design component diagram for post-harvest quality monitoring</t>
  </si>
  <si>
    <t>Objectives &amp; Methodology</t>
  </si>
  <si>
    <t>Completed</t>
  </si>
  <si>
    <t>Medium</t>
  </si>
  <si>
    <t>VIHANI W.W.G.D it22594372</t>
  </si>
  <si>
    <t>RANDENI R.P.R.M it22578778</t>
  </si>
  <si>
    <t>03/13/2026</t>
  </si>
  <si>
    <t>08/25/2025</t>
  </si>
  <si>
    <t>false</t>
  </si>
  <si>
    <t>04/30/2026</t>
  </si>
  <si>
    <t>Post-harvest warehouse quality guard</t>
  </si>
  <si>
    <t>1XkqkERZlEy9HYk3ux04YskAEIfC</t>
  </si>
  <si>
    <t>Write final combined research problem</t>
  </si>
  <si>
    <t>Research Gap &amp; Problem</t>
  </si>
  <si>
    <t>RANDENI R.P.R.M it22578778;VIHANI W.W.G.D it22594372;HANSAJITH W.R.N it22565594;BANGAMUWAGE.M.D it22592606</t>
  </si>
  <si>
    <t>03/08/2026</t>
  </si>
  <si>
    <t>09/06/2025</t>
  </si>
  <si>
    <t>3SLwxzqtUEewIB_nAmv6YskAEPBV</t>
  </si>
  <si>
    <t>Internal TAF Review</t>
  </si>
  <si>
    <t>Topic Planning &amp; TAF</t>
  </si>
  <si>
    <t>03/07/2026</t>
  </si>
  <si>
    <t>06/25/2025</t>
  </si>
  <si>
    <t>53F-9jFlDkiamc1C_r33jckADZJC</t>
  </si>
  <si>
    <t>Develop a monitoring model for warehouse quality assessment and risk detection.</t>
  </si>
  <si>
    <t>Model / System Development</t>
  </si>
  <si>
    <t>03/23/2026</t>
  </si>
  <si>
    <t>01/01/2026</t>
  </si>
  <si>
    <t>7Ng4AV3M4kOKlziM3U60wMkAMVx6</t>
  </si>
  <si>
    <t>Prepare TAF Document</t>
  </si>
  <si>
    <t>Important</t>
  </si>
  <si>
    <t>05/05/2025</t>
  </si>
  <si>
    <t>FA8-FVYIK0WG02-NF9Ed0ckANyrE</t>
  </si>
  <si>
    <t>Identify multi-parameter system requirements and architecture design for warehouse monitoring.</t>
  </si>
  <si>
    <t>Requirements &amp; Architecture</t>
  </si>
  <si>
    <t>09/10/2025</t>
  </si>
  <si>
    <t>Mhl9LQTOE06ITW8jydMhW8kACqDL</t>
  </si>
  <si>
    <t>Collect papers for IoT in cinnamon</t>
  </si>
  <si>
    <t>Literature Review</t>
  </si>
  <si>
    <t>VIHANI W.W.G.D it22594372;BANGAMUWAGE.M.D it22592606</t>
  </si>
  <si>
    <t>07/10/2025</t>
  </si>
  <si>
    <t>QpChDChqOU2ZK_QLmvbT_8kAOrqg</t>
  </si>
  <si>
    <t>Collect papers for ML in cinnamon</t>
  </si>
  <si>
    <t>TyH1WmmzqUubdVRO082Xi8kAIWUv</t>
  </si>
  <si>
    <t>Finalize research topic and supervisor.co supervosor</t>
  </si>
  <si>
    <t>05/26/2025</t>
  </si>
  <si>
    <t>X7n1bSsQ9kKS8tayhOLCD8kAMYyH</t>
  </si>
  <si>
    <t>TAF assesment by supervisor and co supervisor</t>
  </si>
  <si>
    <t>07/17/2025</t>
  </si>
  <si>
    <t>ilVYTJZOREmKy828OHUA1MkADUuV</t>
  </si>
  <si>
    <t>Design system overview diagram</t>
  </si>
  <si>
    <t>09/02/2025</t>
  </si>
  <si>
    <t>itHSNVmUCEaPZKV_kJ59EckAFM_T</t>
  </si>
  <si>
    <t>Define Agile SDLC methodology for SMARTCINNAMON</t>
  </si>
  <si>
    <t>09/30/2025</t>
  </si>
  <si>
    <t>pq6z-zhkSkGu9X9x1RCeHckAMMiY</t>
  </si>
  <si>
    <t>Identify gap in post-harvest quality monitoring</t>
  </si>
  <si>
    <t>qiJI3G1KtEWjGMD1OF4agMkALKdX</t>
  </si>
  <si>
    <t>Prepare environmental sensor datasets including humidity, temperature, and gas levels for monitoring.</t>
  </si>
  <si>
    <t>Data Collection / Dataset Preparation</t>
  </si>
  <si>
    <t>11/01/2025</t>
  </si>
  <si>
    <t>yFEmDZ7wl0q5hUjnMK4sDckAON6v</t>
  </si>
  <si>
    <t>Collect papers for smart cinnamon</t>
  </si>
  <si>
    <t>07/07/2025</t>
  </si>
  <si>
    <t>0r4Usr8iBE-YV5KEN1-B7MkADM5m</t>
  </si>
  <si>
    <t>Submit research publication evidence</t>
  </si>
  <si>
    <t>Final Submission</t>
  </si>
  <si>
    <t>03/26/2026</t>
  </si>
  <si>
    <t>05/30/2026</t>
  </si>
  <si>
    <t>wvXb-NgnC0GpseTsRxBWsskAB82s</t>
  </si>
  <si>
    <t>Submit research paper</t>
  </si>
  <si>
    <t>05/04/2026</t>
  </si>
  <si>
    <t>yQchjHVMR0e7wNisfNhpjskAJIXT</t>
  </si>
  <si>
    <t>Submit final checklist</t>
  </si>
  <si>
    <t>RANDENI R.P.R.M it22578778;VIHANI W.W.G.D it22594372</t>
  </si>
  <si>
    <t>oKcYhqvnHU-91QuiA_dZ7skAO_Su</t>
  </si>
  <si>
    <t>Submit logbook</t>
  </si>
  <si>
    <t>BANGAMUWAGE.M.D it22592606;RANDENI R.P.R.M it22578778;HANSAJITH W.R.N it22565594;VIHANI W.W.G.D it22594372</t>
  </si>
  <si>
    <t>ZW45Exllu0ORCEghPDuk2MkAOqHR</t>
  </si>
  <si>
    <t>Prepare and submit final report</t>
  </si>
  <si>
    <t>Documentation</t>
  </si>
  <si>
    <t>Not started</t>
  </si>
  <si>
    <t>05/13/2026</t>
  </si>
  <si>
    <t>XgIko8Zit0CDYeEMgy9Y38kAMXOK</t>
  </si>
  <si>
    <t>Prepare and submit project website</t>
  </si>
  <si>
    <t>HANSAJITH W.R.N it22565594</t>
  </si>
  <si>
    <t>04/26/2026</t>
  </si>
  <si>
    <t>V3H2as8adkSGMw-UkwOZ9ckAIwLK</t>
  </si>
  <si>
    <t>Prepare and submit final presentation and system demonstration</t>
  </si>
  <si>
    <t>Presentation Preparation</t>
  </si>
  <si>
    <t>BANGAMUWAGE.M.D it22592606;RANDENI R.P.R.M it22578778;VIHANI W.W.G.D it22594372;HANSAJITH W.R.N it22565594</t>
  </si>
  <si>
    <t>05/05/2026</t>
  </si>
  <si>
    <t>ovywm9bqIECwFhASaegqSMkANFhm</t>
  </si>
  <si>
    <t>Conduct final system testing and validation</t>
  </si>
  <si>
    <t>Testing &amp; Validation</t>
  </si>
  <si>
    <t>04/20/2026</t>
  </si>
  <si>
    <t>BANGAMUWAGE.M.D it22592606</t>
  </si>
  <si>
    <t>zw_olPY1SUeDmc299JO0OckAKSOf</t>
  </si>
  <si>
    <t>Prepare and submit individual proposal report</t>
  </si>
  <si>
    <t>09/19/2025</t>
  </si>
  <si>
    <t>8Ml4ilD6C0CMowUljRaIM8kAITx8</t>
  </si>
  <si>
    <t>Prepare and submit Progress Presentation 2 (PP2)</t>
  </si>
  <si>
    <t>03/10/2026</t>
  </si>
  <si>
    <t>0D-46V8gCE2R4IZ1ukrpvskADyvh</t>
  </si>
  <si>
    <t>Prepare and submit Progress Presentation 1 (PP1)</t>
  </si>
  <si>
    <t>RANDENI R.P.R.M it22578778;BANGAMUWAGE.M.D it22592606</t>
  </si>
  <si>
    <t>01/08/2026</t>
  </si>
  <si>
    <t>jtJpSo1jkk6-GQgIr-yLh8kAFJdC</t>
  </si>
  <si>
    <t>Prepare and submit proposal presentation of SMARTCINNAMON system</t>
  </si>
  <si>
    <t>HANSAJITH W.R.N it22565594;BANGAMUWAGE.M.D it22592606</t>
  </si>
  <si>
    <t>09/08/2025</t>
  </si>
  <si>
    <t>fS-nb5viR0KAO8bRtzqGV8kAKOqw</t>
  </si>
  <si>
    <t>System testing and model validation using performance metrics</t>
  </si>
  <si>
    <t>73E7ZDwXTUOxklA5ANj868kAFFlI</t>
  </si>
  <si>
    <t>Integrated SMARTCINNAMON system development and module integration</t>
  </si>
  <si>
    <t>Integration</t>
  </si>
  <si>
    <t>03/05/2026</t>
  </si>
  <si>
    <t>lOBg0-BLOkiQYf1RUjuZuckAIH4w</t>
  </si>
  <si>
    <t>Develop a predictive model for land analysis and vacant area identification.</t>
  </si>
  <si>
    <t>Vacant area detection + yield forecasting</t>
  </si>
  <si>
    <t>QD9R_zCKi0S4dEFfokuSH8kAO5zR</t>
  </si>
  <si>
    <t>Develop a machine learning model for fungal detection and prediction.</t>
  </si>
  <si>
    <t>Cinnamon leaf fungal spread predictor</t>
  </si>
  <si>
    <t>kWwy7dZDkUGcXwiewDzRMckANxBt</t>
  </si>
  <si>
    <t>Develop a model for soil nutrient monitoring and fertilizer recommendation.</t>
  </si>
  <si>
    <t>Soil nutrient monitoring + fertilizer recommendation system</t>
  </si>
  <si>
    <t>FLdHAR-ghkOESPNJFoqyW8kALBTA</t>
  </si>
  <si>
    <t>Prepare satellite and drone imagery along with GIS datasets for plantation analysis.</t>
  </si>
  <si>
    <t>n08XEExfnEyjbjBa1qwOoskAOm5V</t>
  </si>
  <si>
    <t>Prepare cinnamon leaf image datasets through collection and preprocessing for fungal detection.</t>
  </si>
  <si>
    <t>Q2OdstprmkaE9nEX57nSJckAHOlO</t>
  </si>
  <si>
    <t>Prepare soil sensor datasets including NPK, moisture, and temperature values for analysis.</t>
  </si>
  <si>
    <t>CfspMRqgwEmLpTQz4BrXcskAHSTy</t>
  </si>
  <si>
    <t>Identify GIS-based system requirements and architecture design for vacant area detection.</t>
  </si>
  <si>
    <t>8LrblJEGb0WjYrmup2adXckAMRMp</t>
  </si>
  <si>
    <t>Identify system requirements and architecture design for fungal detection and LSTM based prediction.</t>
  </si>
  <si>
    <t>a6G-ovfhSke7IyuLaCATW8kACsRf</t>
  </si>
  <si>
    <t>Identify IoT-based system requirements and architecture design for soil nutrient monitoring.</t>
  </si>
  <si>
    <t>X_2_ObpIl0aCNxmI3ZDcFckAF8IW</t>
  </si>
  <si>
    <t>Define objectives and design component diagram for vacant area detection and yield forecasting</t>
  </si>
  <si>
    <t>yiqW6TMwhUe1w9FxFcNjMskAApz1</t>
  </si>
  <si>
    <t>Define objectives and design component diagram for soil nutrient management</t>
  </si>
  <si>
    <t>YWmy924OoE6AqrFeJ2U0ickAF8hC</t>
  </si>
  <si>
    <t>Define objectives and design component diagram for fungal spread predictor</t>
  </si>
  <si>
    <t>5mdMuklvTEuZkHWyuCv8UMkAMNMg</t>
  </si>
  <si>
    <t>Identify gap in vacant area detection and yield forecasting</t>
  </si>
  <si>
    <t>Pj5zRbrRHUK1HQg2l6gKIckAAq5I</t>
  </si>
  <si>
    <t>Identify gap in fungal progression prediction</t>
  </si>
  <si>
    <t>TBJchxNie02SFlL-S9BATskAKW1f</t>
  </si>
  <si>
    <t>Identify gap in soil nutrient management</t>
  </si>
  <si>
    <t>aKWTHq9Qg0aGpY1wmrdCH8kADCKe</t>
  </si>
  <si>
    <t>GIS, segmentation, yield forecasting literature review</t>
  </si>
  <si>
    <t>08/08/2025</t>
  </si>
  <si>
    <t>7MaNYd3unEaCeV63px40-ckAGSIW</t>
  </si>
  <si>
    <t>Fungal prediction and LSTM/GRU literature review</t>
  </si>
  <si>
    <t>Yn3bYW_Ez0W7Bemyn1cpy8kANDQv</t>
  </si>
  <si>
    <t>Soil nutrient recommendation literature review</t>
  </si>
  <si>
    <t>sKFsZqJU9UWslm60gN2rZskAPgl-</t>
  </si>
  <si>
    <t>re submit TAF and all changes components</t>
  </si>
  <si>
    <t>Urgent</t>
  </si>
  <si>
    <t>11/09/2025</t>
  </si>
  <si>
    <t>58FQ-PxAA0ShvEHhvV54wckAJCz-</t>
  </si>
  <si>
    <t>Prepare the TAF document individual component</t>
  </si>
  <si>
    <t>06/07/2025</t>
  </si>
  <si>
    <t>IZkc1GMnHEuNm2NE_WOnZ8kANw5R</t>
  </si>
  <si>
    <t>XlK19uJk_k-28CDiSzdrAMkAJ0vj</t>
  </si>
  <si>
    <t>tvBM8PRG_0uMx7YwFoG1-ckAEyu2</t>
  </si>
  <si>
    <t>Submit TAF</t>
  </si>
  <si>
    <t>06/27/2025</t>
  </si>
  <si>
    <t>sYya94Ehu0iwYbT64Of5DMkABz4z</t>
  </si>
  <si>
    <t>Post-harvest environmental monitoring literature review</t>
  </si>
  <si>
    <t>12/19/2025</t>
  </si>
  <si>
    <t>DFwVD-XJK0K1kSJfgXthhskAA31R</t>
  </si>
  <si>
    <t>Collect papers for cinnamon-specific studies</t>
  </si>
  <si>
    <t>12/10/2025</t>
  </si>
  <si>
    <t>q3wmJ3cACky3dVUxKaoD68kAHxdG</t>
  </si>
  <si>
    <t>nBaymOm940uKWb0M20IHy8kAMxIu</t>
  </si>
  <si>
    <t>Confirm project group and specialization</t>
  </si>
  <si>
    <t>03/06/2026</t>
  </si>
  <si>
    <t>06/30/2025</t>
  </si>
  <si>
    <t>xA_frxyvVU26fNJUa47Zd8kAJ8GZ</t>
  </si>
  <si>
    <t>Prepare and submit final individual reports</t>
  </si>
  <si>
    <t>05/12/2026</t>
  </si>
  <si>
    <t>K3gjcTY96E2eSFp3tr-H7ckAJLrN</t>
  </si>
  <si>
    <t>Prepare final individual draft</t>
  </si>
  <si>
    <t>04/28/2026</t>
  </si>
  <si>
    <t>Plan name</t>
  </si>
  <si>
    <t>SMARTCINNAMON Research Project Planner</t>
  </si>
  <si>
    <t>Plan ID</t>
  </si>
  <si>
    <t>qwADxLeGkkCxczo-EYwVcckAGm2j</t>
  </si>
  <si>
    <t>Date of export</t>
  </si>
  <si>
    <t>SMARTCINNAMON Research Project Planner Summary</t>
  </si>
  <si>
    <t>Metric</t>
  </si>
  <si>
    <t>Value</t>
  </si>
  <si>
    <t>Task Count</t>
  </si>
  <si>
    <t>Total Tasks</t>
  </si>
  <si>
    <t>Completed Tasks</t>
  </si>
  <si>
    <t>Not Started Tasks</t>
  </si>
  <si>
    <t>Important Tasks</t>
  </si>
  <si>
    <t>Urgent Tasks</t>
  </si>
  <si>
    <t>Define the task scope, expected outputs, and component-level design for the assigned SMARTCINNAMON module.</t>
  </si>
  <si>
    <t>Analyze existing limitations and clearly define the research gap addressed by the SMARTCINNAMON project or assigned component.</t>
  </si>
  <si>
    <t>Prepare, review, and submit the TAF content with required project details, supervisor feedback, and individual component updates.</t>
  </si>
  <si>
    <t>Develop and test the required model according to the planned architecture, dataset, and project objectives.</t>
  </si>
  <si>
    <t>Complete the Topic Assessment Form with project title, problem background, objectives, novelty, and team member details.</t>
  </si>
  <si>
    <t>Identify functional and technical requirements, then prepare the architecture design needed for implementation.</t>
  </si>
  <si>
    <t>Collect and review relevant research papers to support the selected methodology, technology choices, and project background.</t>
  </si>
  <si>
    <t>Finalize the research area, identify the supervisor and co-supervisor, and get initial approval for the selected topic.</t>
  </si>
  <si>
    <t>Complete the planned Objectives &amp; Methodology task for the SMARTCINNAMON research project, ensuring accuracy, evidence, and timely progress.</t>
  </si>
  <si>
    <t>Gather, organize, and prepare the required dataset for analysis, model development, and validation.</t>
  </si>
  <si>
    <t>Prepare the required academic documentation with final content, formatting, references, and supporting evidence.</t>
  </si>
  <si>
    <t>Prepare presentation slides, system demonstration flow, and explanation notes for the scheduled evaluation.</t>
  </si>
  <si>
    <t>Combine the SMARTCINNAMON modules, verify data flow, and resolve integration issues before final testing.</t>
  </si>
  <si>
    <t>Submit the final TAF before midnight. Make sure all details are accurate and complete.</t>
  </si>
  <si>
    <t>Confirm the project direction, team roles, supervisor guidance, and specialization alignment for SMARTCINNAMON.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</si>
</sst>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2"/>
      <color theme="1"/>
      <name val="Calibri"/>
    </font>
    <font>
      <sz val="10"/>
      <color rgb="FF111827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6"/>
      <color rgb="FFFFFFFF"/>
      <name val="Calibri"/>
    </font>
    <font>
      <b/>
      <sz val="12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F8FAFC"/>
      </patternFill>
    </fill>
    <fill>
      <patternFill patternType="solid">
        <fgColor rgb="FF366092"/>
      </patternFill>
    </fill>
  </fills>
  <borders count="11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 applyAlignment="1">
      <alignment wrapText="1"/>
    </xf>
    <xf numFmtId="0" fontId="1" fillId="2" borderId="9" xfId="0" applyFont="1" applyFill="1" applyBorder="1" applyAlignment="1">
      <alignment horizontal="center" wrapText="1"/>
    </xf>
    <xf numFmtId="164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top" wrapText="1"/>
    </xf>
    <xf numFmtId="164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top" wrapText="1"/>
    </xf>
  </cellXfs>
  <cellStyles count="1">
    <cellStyle name="Normal" xfId="0" builtinId="0"/>
  </cellStyles>
  <dxfs count="2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nerTasksTable" displayName="PlannerTasksTable" ref="A1:R59" headerRowDxfId="1" totalsRowDxfId="0" headerRowBorderDxfId="20" tableBorderDxfId="21">
  <tableColumns count="18">
    <tableColumn id="1" xr3:uid="{00000000-0010-0000-0000-000001000000}" name="Task ID" dataDxfId="19"/>
    <tableColumn id="2" xr3:uid="{00000000-0010-0000-0000-000002000000}" name="Task Name" dataDxfId="18"/>
    <tableColumn id="3" xr3:uid="{00000000-0010-0000-0000-000003000000}" name="Bucket Name" dataDxfId="17"/>
    <tableColumn id="4" xr3:uid="{00000000-0010-0000-0000-000004000000}" name="Progress" dataDxfId="16"/>
    <tableColumn id="5" xr3:uid="{00000000-0010-0000-0000-000005000000}" name="Priority" dataDxfId="15"/>
    <tableColumn id="6" xr3:uid="{00000000-0010-0000-0000-000006000000}" name="Assigned To" dataDxfId="14"/>
    <tableColumn id="7" xr3:uid="{00000000-0010-0000-0000-000007000000}" name="Created By" dataDxfId="13"/>
    <tableColumn id="8" xr3:uid="{00000000-0010-0000-0000-000008000000}" name="Created Date" dataDxfId="12"/>
    <tableColumn id="9" xr3:uid="{00000000-0010-0000-0000-000009000000}" name="Start date" dataDxfId="11"/>
    <tableColumn id="10" xr3:uid="{00000000-0010-0000-0000-00000A000000}" name="Due date" dataDxfId="10"/>
    <tableColumn id="11" xr3:uid="{00000000-0010-0000-0000-00000B000000}" name="Is Recurring" dataDxfId="9"/>
    <tableColumn id="12" xr3:uid="{00000000-0010-0000-0000-00000C000000}" name="Late" dataDxfId="8"/>
    <tableColumn id="13" xr3:uid="{00000000-0010-0000-0000-00000D000000}" name="Completed Date" dataDxfId="7"/>
    <tableColumn id="14" xr3:uid="{00000000-0010-0000-0000-00000E000000}" name="Completed By" dataDxfId="6"/>
    <tableColumn id="15" xr3:uid="{00000000-0010-0000-0000-00000F000000}" name="Completed Checklist Items" dataDxfId="5"/>
    <tableColumn id="16" xr3:uid="{00000000-0010-0000-0000-000010000000}" name="Checklist Items" dataDxfId="4"/>
    <tableColumn id="17" xr3:uid="{00000000-0010-0000-0000-000011000000}" name="Labels" dataDxfId="3"/>
    <tableColumn id="18" xr3:uid="{00000000-0010-0000-0000-000012000000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martCinnamon">
  <a:themeElements>
    <a:clrScheme name="SmartCinnamon">
      <a:dk1>
        <a:srgbClr val="111827"/>
      </a:dk1>
      <a:lt1>
        <a:srgbClr val="FFFFFF"/>
      </a:lt1>
      <a:dk2>
        <a:srgbClr val="1F497D"/>
      </a:dk2>
      <a:lt2>
        <a:srgbClr val="F8FAFC"/>
      </a:lt2>
      <a:accent1>
        <a:srgbClr val="2E7D32"/>
      </a:accent1>
      <a:accent2>
        <a:srgbClr val="D97706"/>
      </a:accent2>
      <a:accent3>
        <a:srgbClr val="2563EB"/>
      </a:accent3>
      <a:accent4>
        <a:srgbClr val="7C3AED"/>
      </a:accent4>
      <a:accent5>
        <a:srgbClr val="0F766E"/>
      </a:accent5>
      <a:accent6>
        <a:srgbClr val="DC2626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martCinnam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showGridLines="0" tabSelected="1" topLeftCell="A3" workbookViewId="0">
      <selection activeCell="U4" sqref="U4"/>
    </sheetView>
  </sheetViews>
  <sheetFormatPr defaultRowHeight="15.6" x14ac:dyDescent="0.3"/>
  <cols>
    <col min="1" max="1" width="37" customWidth="1"/>
    <col min="2" max="2" width="42" customWidth="1"/>
    <col min="3" max="3" width="28" customWidth="1"/>
    <col min="4" max="4" width="14" customWidth="1"/>
    <col min="5" max="5" width="13" customWidth="1"/>
    <col min="6" max="6" width="34" customWidth="1"/>
    <col min="7" max="7" width="32" customWidth="1"/>
    <col min="8" max="8" width="13" customWidth="1"/>
    <col min="9" max="10" width="14" customWidth="1"/>
    <col min="11" max="11" width="12" customWidth="1"/>
    <col min="12" max="12" width="9" customWidth="1"/>
    <col min="13" max="13" width="14" customWidth="1"/>
    <col min="14" max="14" width="30" customWidth="1"/>
    <col min="15" max="15" width="17.796875" customWidth="1"/>
    <col min="16" max="16" width="16.3984375" customWidth="1"/>
    <col min="17" max="17" width="30" customWidth="1"/>
    <col min="18" max="18" width="60" customWidth="1"/>
  </cols>
  <sheetData>
    <row r="1" spans="1:18" ht="26.85" customHeigh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1" t="s">
        <v>17</v>
      </c>
    </row>
    <row r="2" spans="1:18" ht="34.200000000000003" customHeight="1" x14ac:dyDescent="0.3">
      <c r="A2" s="7" t="s">
        <v>18</v>
      </c>
      <c r="B2" s="8" t="s">
        <v>19</v>
      </c>
      <c r="C2" s="8" t="s">
        <v>20</v>
      </c>
      <c r="D2" s="9" t="s">
        <v>21</v>
      </c>
      <c r="E2" s="9" t="s">
        <v>22</v>
      </c>
      <c r="F2" s="8" t="s">
        <v>23</v>
      </c>
      <c r="G2" s="8" t="s">
        <v>24</v>
      </c>
      <c r="H2" s="10" t="s">
        <v>25</v>
      </c>
      <c r="I2" s="18">
        <v>45879</v>
      </c>
      <c r="J2" s="18" t="s">
        <v>26</v>
      </c>
      <c r="K2" s="11" t="s">
        <v>27</v>
      </c>
      <c r="L2" s="11" t="s">
        <v>27</v>
      </c>
      <c r="M2" s="10" t="s">
        <v>28</v>
      </c>
      <c r="N2" s="8" t="s">
        <v>23</v>
      </c>
      <c r="O2" s="11"/>
      <c r="P2" s="11"/>
      <c r="Q2" s="8" t="s">
        <v>29</v>
      </c>
      <c r="R2" s="22" t="s">
        <v>218</v>
      </c>
    </row>
    <row r="3" spans="1:18" ht="59.4" customHeight="1" x14ac:dyDescent="0.3">
      <c r="A3" s="7" t="s">
        <v>30</v>
      </c>
      <c r="B3" s="8" t="s">
        <v>31</v>
      </c>
      <c r="C3" s="8" t="s">
        <v>32</v>
      </c>
      <c r="D3" s="9" t="s">
        <v>21</v>
      </c>
      <c r="E3" s="9" t="s">
        <v>22</v>
      </c>
      <c r="F3" s="8" t="s">
        <v>33</v>
      </c>
      <c r="G3" s="8" t="s">
        <v>23</v>
      </c>
      <c r="H3" s="10" t="s">
        <v>34</v>
      </c>
      <c r="I3" s="18">
        <v>45899</v>
      </c>
      <c r="J3" s="18" t="s">
        <v>35</v>
      </c>
      <c r="K3" s="11" t="s">
        <v>27</v>
      </c>
      <c r="L3" s="11" t="s">
        <v>27</v>
      </c>
      <c r="M3" s="10" t="s">
        <v>28</v>
      </c>
      <c r="N3" s="8" t="s">
        <v>23</v>
      </c>
      <c r="O3" s="11"/>
      <c r="P3" s="11"/>
      <c r="Q3" s="8"/>
      <c r="R3" s="22" t="s">
        <v>219</v>
      </c>
    </row>
    <row r="4" spans="1:18" ht="57" customHeight="1" x14ac:dyDescent="0.3">
      <c r="A4" s="7" t="s">
        <v>36</v>
      </c>
      <c r="B4" s="8" t="s">
        <v>37</v>
      </c>
      <c r="C4" s="8" t="s">
        <v>38</v>
      </c>
      <c r="D4" s="9" t="s">
        <v>21</v>
      </c>
      <c r="E4" s="9" t="s">
        <v>22</v>
      </c>
      <c r="F4" s="8" t="s">
        <v>33</v>
      </c>
      <c r="G4" s="8" t="s">
        <v>23</v>
      </c>
      <c r="H4" s="10" t="s">
        <v>39</v>
      </c>
      <c r="I4" s="18">
        <v>45818</v>
      </c>
      <c r="J4" s="18" t="s">
        <v>40</v>
      </c>
      <c r="K4" s="11" t="s">
        <v>27</v>
      </c>
      <c r="L4" s="11" t="s">
        <v>27</v>
      </c>
      <c r="M4" s="10" t="s">
        <v>34</v>
      </c>
      <c r="N4" s="8" t="s">
        <v>24</v>
      </c>
      <c r="O4" s="11"/>
      <c r="P4" s="11"/>
      <c r="Q4" s="8"/>
      <c r="R4" s="22" t="s">
        <v>220</v>
      </c>
    </row>
    <row r="5" spans="1:18" ht="35.4" customHeight="1" x14ac:dyDescent="0.3">
      <c r="A5" s="7" t="s">
        <v>41</v>
      </c>
      <c r="B5" s="8" t="s">
        <v>42</v>
      </c>
      <c r="C5" s="8" t="s">
        <v>43</v>
      </c>
      <c r="D5" s="9" t="s">
        <v>21</v>
      </c>
      <c r="E5" s="9" t="s">
        <v>22</v>
      </c>
      <c r="F5" s="8" t="s">
        <v>23</v>
      </c>
      <c r="G5" s="8" t="s">
        <v>24</v>
      </c>
      <c r="H5" s="10" t="s">
        <v>44</v>
      </c>
      <c r="I5" s="18">
        <v>46006</v>
      </c>
      <c r="J5" s="18" t="s">
        <v>45</v>
      </c>
      <c r="K5" s="11" t="s">
        <v>27</v>
      </c>
      <c r="L5" s="11" t="s">
        <v>27</v>
      </c>
      <c r="M5" s="10" t="s">
        <v>28</v>
      </c>
      <c r="N5" s="8" t="s">
        <v>23</v>
      </c>
      <c r="O5" s="11"/>
      <c r="P5" s="11"/>
      <c r="Q5" s="8" t="s">
        <v>29</v>
      </c>
      <c r="R5" s="22" t="s">
        <v>221</v>
      </c>
    </row>
    <row r="6" spans="1:18" ht="48.75" customHeight="1" x14ac:dyDescent="0.3">
      <c r="A6" s="7" t="s">
        <v>46</v>
      </c>
      <c r="B6" s="8" t="s">
        <v>47</v>
      </c>
      <c r="C6" s="8" t="s">
        <v>38</v>
      </c>
      <c r="D6" s="9" t="s">
        <v>21</v>
      </c>
      <c r="E6" s="9" t="s">
        <v>48</v>
      </c>
      <c r="F6" s="8" t="s">
        <v>33</v>
      </c>
      <c r="G6" s="8" t="s">
        <v>23</v>
      </c>
      <c r="H6" s="10" t="s">
        <v>39</v>
      </c>
      <c r="I6" s="18">
        <v>45761</v>
      </c>
      <c r="J6" s="18" t="s">
        <v>49</v>
      </c>
      <c r="K6" s="11" t="s">
        <v>27</v>
      </c>
      <c r="L6" s="11" t="s">
        <v>27</v>
      </c>
      <c r="M6" s="10" t="s">
        <v>34</v>
      </c>
      <c r="N6" s="8" t="s">
        <v>24</v>
      </c>
      <c r="O6" s="11"/>
      <c r="P6" s="11"/>
      <c r="Q6" s="8"/>
      <c r="R6" s="22" t="s">
        <v>222</v>
      </c>
    </row>
    <row r="7" spans="1:18" ht="34.799999999999997" customHeight="1" x14ac:dyDescent="0.3">
      <c r="A7" s="7" t="s">
        <v>50</v>
      </c>
      <c r="B7" s="8" t="s">
        <v>51</v>
      </c>
      <c r="C7" s="8" t="s">
        <v>52</v>
      </c>
      <c r="D7" s="9" t="s">
        <v>21</v>
      </c>
      <c r="E7" s="9" t="s">
        <v>22</v>
      </c>
      <c r="F7" s="8" t="s">
        <v>23</v>
      </c>
      <c r="G7" s="8" t="s">
        <v>24</v>
      </c>
      <c r="H7" s="10" t="s">
        <v>44</v>
      </c>
      <c r="I7" s="18">
        <v>45889</v>
      </c>
      <c r="J7" s="18" t="s">
        <v>53</v>
      </c>
      <c r="K7" s="11" t="s">
        <v>27</v>
      </c>
      <c r="L7" s="11" t="s">
        <v>27</v>
      </c>
      <c r="M7" s="10" t="s">
        <v>28</v>
      </c>
      <c r="N7" s="8" t="s">
        <v>23</v>
      </c>
      <c r="O7" s="11"/>
      <c r="P7" s="11"/>
      <c r="Q7" s="8" t="s">
        <v>29</v>
      </c>
      <c r="R7" s="22" t="s">
        <v>223</v>
      </c>
    </row>
    <row r="8" spans="1:18" ht="36.6" customHeight="1" x14ac:dyDescent="0.3">
      <c r="A8" s="7" t="s">
        <v>54</v>
      </c>
      <c r="B8" s="8" t="s">
        <v>55</v>
      </c>
      <c r="C8" s="8" t="s">
        <v>56</v>
      </c>
      <c r="D8" s="9" t="s">
        <v>21</v>
      </c>
      <c r="E8" s="9" t="s">
        <v>22</v>
      </c>
      <c r="F8" s="8" t="s">
        <v>57</v>
      </c>
      <c r="G8" s="8" t="s">
        <v>23</v>
      </c>
      <c r="H8" s="10" t="s">
        <v>34</v>
      </c>
      <c r="I8" s="18">
        <v>45827</v>
      </c>
      <c r="J8" s="18" t="s">
        <v>58</v>
      </c>
      <c r="K8" s="11" t="s">
        <v>27</v>
      </c>
      <c r="L8" s="11" t="s">
        <v>27</v>
      </c>
      <c r="M8" s="10" t="s">
        <v>28</v>
      </c>
      <c r="N8" s="8" t="s">
        <v>23</v>
      </c>
      <c r="O8" s="11"/>
      <c r="P8" s="11"/>
      <c r="Q8" s="8"/>
      <c r="R8" s="22" t="s">
        <v>224</v>
      </c>
    </row>
    <row r="9" spans="1:18" ht="48.75" customHeight="1" x14ac:dyDescent="0.3">
      <c r="A9" s="7" t="s">
        <v>59</v>
      </c>
      <c r="B9" s="8" t="s">
        <v>60</v>
      </c>
      <c r="C9" s="8" t="s">
        <v>56</v>
      </c>
      <c r="D9" s="9" t="s">
        <v>21</v>
      </c>
      <c r="E9" s="9" t="s">
        <v>22</v>
      </c>
      <c r="F9" s="8" t="s">
        <v>33</v>
      </c>
      <c r="G9" s="8" t="s">
        <v>23</v>
      </c>
      <c r="H9" s="10" t="s">
        <v>34</v>
      </c>
      <c r="I9" s="18">
        <v>45827</v>
      </c>
      <c r="J9" s="18" t="s">
        <v>58</v>
      </c>
      <c r="K9" s="11" t="s">
        <v>27</v>
      </c>
      <c r="L9" s="11" t="s">
        <v>27</v>
      </c>
      <c r="M9" s="10" t="s">
        <v>28</v>
      </c>
      <c r="N9" s="8" t="s">
        <v>23</v>
      </c>
      <c r="O9" s="11"/>
      <c r="P9" s="11"/>
      <c r="Q9" s="8"/>
      <c r="R9" s="22" t="s">
        <v>224</v>
      </c>
    </row>
    <row r="10" spans="1:18" ht="48.75" customHeight="1" x14ac:dyDescent="0.3">
      <c r="A10" s="7" t="s">
        <v>61</v>
      </c>
      <c r="B10" s="8" t="s">
        <v>62</v>
      </c>
      <c r="C10" s="8" t="s">
        <v>38</v>
      </c>
      <c r="D10" s="9" t="s">
        <v>21</v>
      </c>
      <c r="E10" s="9" t="s">
        <v>22</v>
      </c>
      <c r="F10" s="8" t="s">
        <v>33</v>
      </c>
      <c r="G10" s="8" t="s">
        <v>23</v>
      </c>
      <c r="H10" s="10" t="s">
        <v>39</v>
      </c>
      <c r="I10" s="18">
        <v>45782</v>
      </c>
      <c r="J10" s="18" t="s">
        <v>63</v>
      </c>
      <c r="K10" s="11" t="s">
        <v>27</v>
      </c>
      <c r="L10" s="11" t="s">
        <v>27</v>
      </c>
      <c r="M10" s="10" t="s">
        <v>39</v>
      </c>
      <c r="N10" s="8" t="s">
        <v>23</v>
      </c>
      <c r="O10" s="11"/>
      <c r="P10" s="11"/>
      <c r="Q10" s="8"/>
      <c r="R10" s="22" t="s">
        <v>225</v>
      </c>
    </row>
    <row r="11" spans="1:18" ht="48.75" customHeight="1" x14ac:dyDescent="0.3">
      <c r="A11" s="7" t="s">
        <v>64</v>
      </c>
      <c r="B11" s="8" t="s">
        <v>65</v>
      </c>
      <c r="C11" s="8" t="s">
        <v>38</v>
      </c>
      <c r="D11" s="9" t="s">
        <v>21</v>
      </c>
      <c r="E11" s="9" t="s">
        <v>22</v>
      </c>
      <c r="F11" s="8" t="s">
        <v>33</v>
      </c>
      <c r="G11" s="8" t="s">
        <v>23</v>
      </c>
      <c r="H11" s="10" t="s">
        <v>39</v>
      </c>
      <c r="I11" s="18">
        <v>45834</v>
      </c>
      <c r="J11" s="18" t="s">
        <v>66</v>
      </c>
      <c r="K11" s="11" t="s">
        <v>27</v>
      </c>
      <c r="L11" s="11" t="s">
        <v>27</v>
      </c>
      <c r="M11" s="10" t="s">
        <v>28</v>
      </c>
      <c r="N11" s="8" t="s">
        <v>23</v>
      </c>
      <c r="O11" s="11"/>
      <c r="P11" s="11"/>
      <c r="Q11" s="8"/>
      <c r="R11" s="22" t="s">
        <v>220</v>
      </c>
    </row>
    <row r="12" spans="1:18" ht="48.75" customHeight="1" x14ac:dyDescent="0.3">
      <c r="A12" s="7" t="s">
        <v>67</v>
      </c>
      <c r="B12" s="8" t="s">
        <v>68</v>
      </c>
      <c r="C12" s="8" t="s">
        <v>20</v>
      </c>
      <c r="D12" s="9" t="s">
        <v>21</v>
      </c>
      <c r="E12" s="9" t="s">
        <v>22</v>
      </c>
      <c r="F12" s="8" t="s">
        <v>33</v>
      </c>
      <c r="G12" s="8" t="s">
        <v>24</v>
      </c>
      <c r="H12" s="10" t="s">
        <v>25</v>
      </c>
      <c r="I12" s="18">
        <v>45881</v>
      </c>
      <c r="J12" s="18" t="s">
        <v>69</v>
      </c>
      <c r="K12" s="11" t="s">
        <v>27</v>
      </c>
      <c r="L12" s="11" t="s">
        <v>27</v>
      </c>
      <c r="M12" s="10" t="s">
        <v>28</v>
      </c>
      <c r="N12" s="8" t="s">
        <v>23</v>
      </c>
      <c r="O12" s="11"/>
      <c r="P12" s="11"/>
      <c r="Q12" s="8"/>
      <c r="R12" s="22" t="s">
        <v>218</v>
      </c>
    </row>
    <row r="13" spans="1:18" ht="48.75" customHeight="1" x14ac:dyDescent="0.3">
      <c r="A13" s="7" t="s">
        <v>70</v>
      </c>
      <c r="B13" s="8" t="s">
        <v>71</v>
      </c>
      <c r="C13" s="8" t="s">
        <v>20</v>
      </c>
      <c r="D13" s="9" t="s">
        <v>21</v>
      </c>
      <c r="E13" s="9" t="s">
        <v>22</v>
      </c>
      <c r="F13" s="8" t="s">
        <v>33</v>
      </c>
      <c r="G13" s="8" t="s">
        <v>24</v>
      </c>
      <c r="H13" s="10" t="s">
        <v>25</v>
      </c>
      <c r="I13" s="18">
        <v>45909</v>
      </c>
      <c r="J13" s="18" t="s">
        <v>72</v>
      </c>
      <c r="K13" s="11" t="s">
        <v>27</v>
      </c>
      <c r="L13" s="11" t="s">
        <v>27</v>
      </c>
      <c r="M13" s="10" t="s">
        <v>28</v>
      </c>
      <c r="N13" s="8" t="s">
        <v>23</v>
      </c>
      <c r="O13" s="11"/>
      <c r="P13" s="11"/>
      <c r="Q13" s="8"/>
      <c r="R13" s="22" t="s">
        <v>226</v>
      </c>
    </row>
    <row r="14" spans="1:18" ht="40.200000000000003" customHeight="1" x14ac:dyDescent="0.3">
      <c r="A14" s="7" t="s">
        <v>73</v>
      </c>
      <c r="B14" s="8" t="s">
        <v>74</v>
      </c>
      <c r="C14" s="8" t="s">
        <v>32</v>
      </c>
      <c r="D14" s="9" t="s">
        <v>21</v>
      </c>
      <c r="E14" s="9" t="s">
        <v>22</v>
      </c>
      <c r="F14" s="8" t="s">
        <v>23</v>
      </c>
      <c r="G14" s="8" t="s">
        <v>23</v>
      </c>
      <c r="H14" s="10" t="s">
        <v>34</v>
      </c>
      <c r="I14" s="18">
        <v>45885</v>
      </c>
      <c r="J14" s="18" t="s">
        <v>35</v>
      </c>
      <c r="K14" s="11" t="s">
        <v>27</v>
      </c>
      <c r="L14" s="11" t="s">
        <v>27</v>
      </c>
      <c r="M14" s="10" t="s">
        <v>28</v>
      </c>
      <c r="N14" s="8" t="s">
        <v>23</v>
      </c>
      <c r="O14" s="11"/>
      <c r="P14" s="11"/>
      <c r="Q14" s="8" t="s">
        <v>29</v>
      </c>
      <c r="R14" s="22" t="s">
        <v>219</v>
      </c>
    </row>
    <row r="15" spans="1:18" ht="38.4" customHeight="1" x14ac:dyDescent="0.3">
      <c r="A15" s="7" t="s">
        <v>75</v>
      </c>
      <c r="B15" s="8" t="s">
        <v>76</v>
      </c>
      <c r="C15" s="8" t="s">
        <v>77</v>
      </c>
      <c r="D15" s="9" t="s">
        <v>21</v>
      </c>
      <c r="E15" s="9" t="s">
        <v>22</v>
      </c>
      <c r="F15" s="8" t="s">
        <v>23</v>
      </c>
      <c r="G15" s="8" t="s">
        <v>24</v>
      </c>
      <c r="H15" s="10" t="s">
        <v>44</v>
      </c>
      <c r="I15" s="18">
        <v>45941</v>
      </c>
      <c r="J15" s="18" t="s">
        <v>78</v>
      </c>
      <c r="K15" s="11" t="s">
        <v>27</v>
      </c>
      <c r="L15" s="11" t="s">
        <v>27</v>
      </c>
      <c r="M15" s="10" t="s">
        <v>28</v>
      </c>
      <c r="N15" s="8" t="s">
        <v>23</v>
      </c>
      <c r="O15" s="11"/>
      <c r="P15" s="11"/>
      <c r="Q15" s="8" t="s">
        <v>29</v>
      </c>
      <c r="R15" s="22" t="s">
        <v>227</v>
      </c>
    </row>
    <row r="16" spans="1:18" ht="48.75" customHeight="1" x14ac:dyDescent="0.3">
      <c r="A16" s="7" t="s">
        <v>79</v>
      </c>
      <c r="B16" s="8" t="s">
        <v>80</v>
      </c>
      <c r="C16" s="8" t="s">
        <v>56</v>
      </c>
      <c r="D16" s="9" t="s">
        <v>21</v>
      </c>
      <c r="E16" s="9" t="s">
        <v>22</v>
      </c>
      <c r="F16" s="8" t="s">
        <v>33</v>
      </c>
      <c r="G16" s="8" t="s">
        <v>23</v>
      </c>
      <c r="H16" s="10" t="s">
        <v>34</v>
      </c>
      <c r="I16" s="18">
        <v>45824</v>
      </c>
      <c r="J16" s="18" t="s">
        <v>81</v>
      </c>
      <c r="K16" s="11" t="s">
        <v>27</v>
      </c>
      <c r="L16" s="11" t="s">
        <v>27</v>
      </c>
      <c r="M16" s="10" t="s">
        <v>28</v>
      </c>
      <c r="N16" s="8" t="s">
        <v>23</v>
      </c>
      <c r="O16" s="11"/>
      <c r="P16" s="11"/>
      <c r="Q16" s="8"/>
      <c r="R16" s="22" t="s">
        <v>224</v>
      </c>
    </row>
    <row r="17" spans="1:18" ht="24.45" customHeight="1" x14ac:dyDescent="0.3">
      <c r="A17" s="7" t="s">
        <v>82</v>
      </c>
      <c r="B17" s="8" t="s">
        <v>83</v>
      </c>
      <c r="C17" s="8" t="s">
        <v>84</v>
      </c>
      <c r="D17" s="9" t="s">
        <v>21</v>
      </c>
      <c r="E17" s="9" t="s">
        <v>22</v>
      </c>
      <c r="F17" s="8" t="s">
        <v>23</v>
      </c>
      <c r="G17" s="8" t="s">
        <v>24</v>
      </c>
      <c r="H17" s="10" t="s">
        <v>85</v>
      </c>
      <c r="I17" s="18">
        <v>46151</v>
      </c>
      <c r="J17" s="18" t="s">
        <v>86</v>
      </c>
      <c r="K17" s="11" t="s">
        <v>27</v>
      </c>
      <c r="L17" s="11" t="s">
        <v>27</v>
      </c>
      <c r="M17" s="10" t="s">
        <v>28</v>
      </c>
      <c r="N17" s="8" t="s">
        <v>23</v>
      </c>
      <c r="O17" s="11"/>
      <c r="P17" s="11"/>
      <c r="Q17" s="8"/>
      <c r="R17" s="22"/>
    </row>
    <row r="18" spans="1:18" ht="24.45" customHeight="1" x14ac:dyDescent="0.3">
      <c r="A18" s="7" t="s">
        <v>87</v>
      </c>
      <c r="B18" s="8" t="s">
        <v>88</v>
      </c>
      <c r="C18" s="8" t="s">
        <v>84</v>
      </c>
      <c r="D18" s="9" t="s">
        <v>21</v>
      </c>
      <c r="E18" s="9" t="s">
        <v>22</v>
      </c>
      <c r="F18" s="8" t="s">
        <v>23</v>
      </c>
      <c r="G18" s="8" t="s">
        <v>24</v>
      </c>
      <c r="H18" s="10" t="s">
        <v>85</v>
      </c>
      <c r="I18" s="18">
        <v>46125</v>
      </c>
      <c r="J18" s="18" t="s">
        <v>89</v>
      </c>
      <c r="K18" s="11" t="s">
        <v>27</v>
      </c>
      <c r="L18" s="11" t="s">
        <v>27</v>
      </c>
      <c r="M18" s="10" t="s">
        <v>28</v>
      </c>
      <c r="N18" s="8" t="s">
        <v>23</v>
      </c>
      <c r="O18" s="11"/>
      <c r="P18" s="11"/>
      <c r="Q18" s="8"/>
      <c r="R18" s="22"/>
    </row>
    <row r="19" spans="1:18" ht="24.45" customHeight="1" x14ac:dyDescent="0.3">
      <c r="A19" s="7" t="s">
        <v>90</v>
      </c>
      <c r="B19" s="8" t="s">
        <v>91</v>
      </c>
      <c r="C19" s="8" t="s">
        <v>84</v>
      </c>
      <c r="D19" s="9" t="s">
        <v>21</v>
      </c>
      <c r="E19" s="9" t="s">
        <v>22</v>
      </c>
      <c r="F19" s="8" t="s">
        <v>92</v>
      </c>
      <c r="G19" s="8" t="s">
        <v>24</v>
      </c>
      <c r="H19" s="10" t="s">
        <v>85</v>
      </c>
      <c r="I19" s="18">
        <v>46121</v>
      </c>
      <c r="J19" s="18" t="s">
        <v>28</v>
      </c>
      <c r="K19" s="11" t="s">
        <v>27</v>
      </c>
      <c r="L19" s="11" t="s">
        <v>27</v>
      </c>
      <c r="M19" s="10" t="s">
        <v>28</v>
      </c>
      <c r="N19" s="8" t="s">
        <v>23</v>
      </c>
      <c r="O19" s="11"/>
      <c r="P19" s="11"/>
      <c r="Q19" s="8"/>
      <c r="R19" s="22"/>
    </row>
    <row r="20" spans="1:18" ht="36.6" customHeight="1" x14ac:dyDescent="0.3">
      <c r="A20" s="7" t="s">
        <v>93</v>
      </c>
      <c r="B20" s="8" t="s">
        <v>94</v>
      </c>
      <c r="C20" s="8" t="s">
        <v>84</v>
      </c>
      <c r="D20" s="9" t="s">
        <v>21</v>
      </c>
      <c r="E20" s="9" t="s">
        <v>22</v>
      </c>
      <c r="F20" s="8" t="s">
        <v>95</v>
      </c>
      <c r="G20" s="8" t="s">
        <v>24</v>
      </c>
      <c r="H20" s="10" t="s">
        <v>85</v>
      </c>
      <c r="I20" s="18">
        <v>46139</v>
      </c>
      <c r="J20" s="18" t="s">
        <v>28</v>
      </c>
      <c r="K20" s="11" t="s">
        <v>27</v>
      </c>
      <c r="L20" s="11" t="s">
        <v>27</v>
      </c>
      <c r="M20" s="10" t="s">
        <v>28</v>
      </c>
      <c r="N20" s="8" t="s">
        <v>23</v>
      </c>
      <c r="O20" s="11"/>
      <c r="P20" s="11"/>
      <c r="Q20" s="8"/>
      <c r="R20" s="22"/>
    </row>
    <row r="21" spans="1:18" ht="24.45" customHeight="1" x14ac:dyDescent="0.3">
      <c r="A21" s="7" t="s">
        <v>96</v>
      </c>
      <c r="B21" s="8" t="s">
        <v>97</v>
      </c>
      <c r="C21" s="8" t="s">
        <v>98</v>
      </c>
      <c r="D21" s="9" t="s">
        <v>99</v>
      </c>
      <c r="E21" s="9" t="s">
        <v>48</v>
      </c>
      <c r="F21" s="8" t="s">
        <v>24</v>
      </c>
      <c r="G21" s="8" t="s">
        <v>24</v>
      </c>
      <c r="H21" s="10" t="s">
        <v>85</v>
      </c>
      <c r="I21" s="18">
        <v>46134</v>
      </c>
      <c r="J21" s="18" t="s">
        <v>100</v>
      </c>
      <c r="K21" s="11" t="s">
        <v>27</v>
      </c>
      <c r="L21" s="11" t="s">
        <v>27</v>
      </c>
      <c r="M21" s="10"/>
      <c r="N21" s="8"/>
      <c r="O21" s="11"/>
      <c r="P21" s="11"/>
      <c r="Q21" s="8"/>
      <c r="R21" s="22"/>
    </row>
    <row r="22" spans="1:18" ht="24.45" customHeight="1" x14ac:dyDescent="0.3">
      <c r="A22" s="7" t="s">
        <v>101</v>
      </c>
      <c r="B22" s="8" t="s">
        <v>102</v>
      </c>
      <c r="C22" s="8" t="s">
        <v>84</v>
      </c>
      <c r="D22" s="9" t="s">
        <v>21</v>
      </c>
      <c r="E22" s="9" t="s">
        <v>22</v>
      </c>
      <c r="F22" s="8" t="s">
        <v>103</v>
      </c>
      <c r="G22" s="8" t="s">
        <v>24</v>
      </c>
      <c r="H22" s="10" t="s">
        <v>85</v>
      </c>
      <c r="I22" s="18">
        <v>46117</v>
      </c>
      <c r="J22" s="18" t="s">
        <v>104</v>
      </c>
      <c r="K22" s="11" t="s">
        <v>27</v>
      </c>
      <c r="L22" s="11" t="s">
        <v>27</v>
      </c>
      <c r="M22" s="10" t="s">
        <v>28</v>
      </c>
      <c r="N22" s="8" t="s">
        <v>23</v>
      </c>
      <c r="O22" s="11"/>
      <c r="P22" s="11"/>
      <c r="Q22" s="8"/>
      <c r="R22" s="22"/>
    </row>
    <row r="23" spans="1:18" ht="36.6" customHeight="1" x14ac:dyDescent="0.3">
      <c r="A23" s="7" t="s">
        <v>105</v>
      </c>
      <c r="B23" s="8" t="s">
        <v>106</v>
      </c>
      <c r="C23" s="8" t="s">
        <v>107</v>
      </c>
      <c r="D23" s="9" t="s">
        <v>99</v>
      </c>
      <c r="E23" s="9" t="s">
        <v>48</v>
      </c>
      <c r="F23" s="8" t="s">
        <v>108</v>
      </c>
      <c r="G23" s="8" t="s">
        <v>24</v>
      </c>
      <c r="H23" s="10" t="s">
        <v>85</v>
      </c>
      <c r="I23" s="18">
        <v>46126</v>
      </c>
      <c r="J23" s="18" t="s">
        <v>109</v>
      </c>
      <c r="K23" s="11" t="s">
        <v>27</v>
      </c>
      <c r="L23" s="11" t="s">
        <v>27</v>
      </c>
      <c r="M23" s="10" t="s">
        <v>28</v>
      </c>
      <c r="N23" s="8"/>
      <c r="O23" s="11"/>
      <c r="P23" s="11"/>
      <c r="Q23" s="8"/>
      <c r="R23" s="22"/>
    </row>
    <row r="24" spans="1:18" ht="24.45" customHeight="1" x14ac:dyDescent="0.3">
      <c r="A24" s="7" t="s">
        <v>110</v>
      </c>
      <c r="B24" s="8" t="s">
        <v>111</v>
      </c>
      <c r="C24" s="8" t="s">
        <v>112</v>
      </c>
      <c r="D24" s="9" t="s">
        <v>21</v>
      </c>
      <c r="E24" s="9" t="s">
        <v>48</v>
      </c>
      <c r="F24" s="8"/>
      <c r="G24" s="8" t="s">
        <v>24</v>
      </c>
      <c r="H24" s="10" t="s">
        <v>85</v>
      </c>
      <c r="I24" s="18">
        <v>46111</v>
      </c>
      <c r="J24" s="18" t="s">
        <v>113</v>
      </c>
      <c r="K24" s="11" t="s">
        <v>27</v>
      </c>
      <c r="L24" s="11" t="s">
        <v>27</v>
      </c>
      <c r="M24" s="10" t="s">
        <v>28</v>
      </c>
      <c r="N24" s="8" t="s">
        <v>114</v>
      </c>
      <c r="O24" s="11"/>
      <c r="P24" s="11"/>
      <c r="Q24" s="8"/>
      <c r="R24" s="22"/>
    </row>
    <row r="25" spans="1:18" ht="36.6" customHeight="1" x14ac:dyDescent="0.3">
      <c r="A25" s="7" t="s">
        <v>115</v>
      </c>
      <c r="B25" s="8" t="s">
        <v>116</v>
      </c>
      <c r="C25" s="8" t="s">
        <v>98</v>
      </c>
      <c r="D25" s="9" t="s">
        <v>21</v>
      </c>
      <c r="E25" s="9" t="s">
        <v>48</v>
      </c>
      <c r="F25" s="8" t="s">
        <v>108</v>
      </c>
      <c r="G25" s="8" t="s">
        <v>24</v>
      </c>
      <c r="H25" s="10" t="s">
        <v>85</v>
      </c>
      <c r="I25" s="18">
        <v>45898</v>
      </c>
      <c r="J25" s="18" t="s">
        <v>117</v>
      </c>
      <c r="K25" s="11" t="s">
        <v>27</v>
      </c>
      <c r="L25" s="11" t="s">
        <v>27</v>
      </c>
      <c r="M25" s="10" t="s">
        <v>28</v>
      </c>
      <c r="N25" s="8" t="s">
        <v>23</v>
      </c>
      <c r="O25" s="11"/>
      <c r="P25" s="11"/>
      <c r="Q25" s="8"/>
      <c r="R25" s="22" t="s">
        <v>228</v>
      </c>
    </row>
    <row r="26" spans="1:18" ht="39.6" customHeight="1" x14ac:dyDescent="0.3">
      <c r="A26" s="7" t="s">
        <v>118</v>
      </c>
      <c r="B26" s="8" t="s">
        <v>119</v>
      </c>
      <c r="C26" s="8" t="s">
        <v>107</v>
      </c>
      <c r="D26" s="9" t="s">
        <v>21</v>
      </c>
      <c r="E26" s="9" t="s">
        <v>48</v>
      </c>
      <c r="F26" s="8" t="s">
        <v>23</v>
      </c>
      <c r="G26" s="8" t="s">
        <v>24</v>
      </c>
      <c r="H26" s="10" t="s">
        <v>85</v>
      </c>
      <c r="I26" s="18">
        <v>46070</v>
      </c>
      <c r="J26" s="18" t="s">
        <v>120</v>
      </c>
      <c r="K26" s="11" t="s">
        <v>27</v>
      </c>
      <c r="L26" s="11" t="s">
        <v>27</v>
      </c>
      <c r="M26" s="10" t="s">
        <v>28</v>
      </c>
      <c r="N26" s="8" t="s">
        <v>23</v>
      </c>
      <c r="O26" s="11"/>
      <c r="P26" s="11"/>
      <c r="Q26" s="8"/>
      <c r="R26" s="22" t="s">
        <v>229</v>
      </c>
    </row>
    <row r="27" spans="1:18" ht="36.6" customHeight="1" x14ac:dyDescent="0.3">
      <c r="A27" s="7" t="s">
        <v>121</v>
      </c>
      <c r="B27" s="8" t="s">
        <v>122</v>
      </c>
      <c r="C27" s="8" t="s">
        <v>107</v>
      </c>
      <c r="D27" s="9" t="s">
        <v>21</v>
      </c>
      <c r="E27" s="9" t="s">
        <v>48</v>
      </c>
      <c r="F27" s="8" t="s">
        <v>123</v>
      </c>
      <c r="G27" s="8" t="s">
        <v>24</v>
      </c>
      <c r="H27" s="10" t="s">
        <v>85</v>
      </c>
      <c r="I27" s="18">
        <v>46009</v>
      </c>
      <c r="J27" s="18" t="s">
        <v>124</v>
      </c>
      <c r="K27" s="11" t="s">
        <v>27</v>
      </c>
      <c r="L27" s="11" t="s">
        <v>27</v>
      </c>
      <c r="M27" s="10" t="s">
        <v>28</v>
      </c>
      <c r="N27" s="8" t="s">
        <v>24</v>
      </c>
      <c r="O27" s="11"/>
      <c r="P27" s="11"/>
      <c r="Q27" s="8"/>
      <c r="R27" s="22" t="s">
        <v>229</v>
      </c>
    </row>
    <row r="28" spans="1:18" ht="52.2" customHeight="1" x14ac:dyDescent="0.3">
      <c r="A28" s="7" t="s">
        <v>125</v>
      </c>
      <c r="B28" s="8" t="s">
        <v>126</v>
      </c>
      <c r="C28" s="8" t="s">
        <v>107</v>
      </c>
      <c r="D28" s="9" t="s">
        <v>21</v>
      </c>
      <c r="E28" s="9" t="s">
        <v>22</v>
      </c>
      <c r="F28" s="8" t="s">
        <v>127</v>
      </c>
      <c r="G28" s="8" t="s">
        <v>24</v>
      </c>
      <c r="H28" s="10" t="s">
        <v>85</v>
      </c>
      <c r="I28" s="18">
        <v>45887</v>
      </c>
      <c r="J28" s="18" t="s">
        <v>128</v>
      </c>
      <c r="K28" s="11" t="s">
        <v>27</v>
      </c>
      <c r="L28" s="11" t="s">
        <v>27</v>
      </c>
      <c r="M28" s="10" t="s">
        <v>28</v>
      </c>
      <c r="N28" s="8" t="s">
        <v>114</v>
      </c>
      <c r="O28" s="11"/>
      <c r="P28" s="11"/>
      <c r="Q28" s="8"/>
      <c r="R28" s="22" t="s">
        <v>229</v>
      </c>
    </row>
    <row r="29" spans="1:18" ht="30.6" customHeight="1" x14ac:dyDescent="0.3">
      <c r="A29" s="7" t="s">
        <v>129</v>
      </c>
      <c r="B29" s="8" t="s">
        <v>130</v>
      </c>
      <c r="C29" s="8" t="s">
        <v>112</v>
      </c>
      <c r="D29" s="9" t="s">
        <v>21</v>
      </c>
      <c r="E29" s="9" t="s">
        <v>22</v>
      </c>
      <c r="F29" s="8"/>
      <c r="G29" s="8" t="s">
        <v>24</v>
      </c>
      <c r="H29" s="10" t="s">
        <v>44</v>
      </c>
      <c r="I29" s="18">
        <v>46067</v>
      </c>
      <c r="J29" s="18" t="s">
        <v>39</v>
      </c>
      <c r="K29" s="11" t="s">
        <v>27</v>
      </c>
      <c r="L29" s="11" t="s">
        <v>27</v>
      </c>
      <c r="M29" s="10" t="s">
        <v>28</v>
      </c>
      <c r="N29" s="8" t="s">
        <v>114</v>
      </c>
      <c r="O29" s="11"/>
      <c r="P29" s="11"/>
      <c r="Q29" s="8"/>
      <c r="R29" s="22" t="s">
        <v>221</v>
      </c>
    </row>
    <row r="30" spans="1:18" ht="36.6" customHeight="1" x14ac:dyDescent="0.3">
      <c r="A30" s="7" t="s">
        <v>131</v>
      </c>
      <c r="B30" s="8" t="s">
        <v>132</v>
      </c>
      <c r="C30" s="8" t="s">
        <v>133</v>
      </c>
      <c r="D30" s="9" t="s">
        <v>21</v>
      </c>
      <c r="E30" s="9" t="s">
        <v>22</v>
      </c>
      <c r="F30" s="8" t="s">
        <v>108</v>
      </c>
      <c r="G30" s="8" t="s">
        <v>24</v>
      </c>
      <c r="H30" s="10" t="s">
        <v>44</v>
      </c>
      <c r="I30" s="18">
        <v>46065</v>
      </c>
      <c r="J30" s="18" t="s">
        <v>134</v>
      </c>
      <c r="K30" s="11" t="s">
        <v>27</v>
      </c>
      <c r="L30" s="11" t="s">
        <v>27</v>
      </c>
      <c r="M30" s="10" t="s">
        <v>28</v>
      </c>
      <c r="N30" s="8" t="s">
        <v>23</v>
      </c>
      <c r="O30" s="11"/>
      <c r="P30" s="11"/>
      <c r="Q30" s="8"/>
      <c r="R30" s="22" t="s">
        <v>230</v>
      </c>
    </row>
    <row r="31" spans="1:18" ht="38.4" customHeight="1" x14ac:dyDescent="0.3">
      <c r="A31" s="7" t="s">
        <v>135</v>
      </c>
      <c r="B31" s="8" t="s">
        <v>136</v>
      </c>
      <c r="C31" s="8" t="s">
        <v>43</v>
      </c>
      <c r="D31" s="9" t="s">
        <v>21</v>
      </c>
      <c r="E31" s="9" t="s">
        <v>22</v>
      </c>
      <c r="F31" s="8" t="s">
        <v>103</v>
      </c>
      <c r="G31" s="8" t="s">
        <v>24</v>
      </c>
      <c r="H31" s="10" t="s">
        <v>44</v>
      </c>
      <c r="I31" s="18">
        <v>46002</v>
      </c>
      <c r="J31" s="18" t="s">
        <v>45</v>
      </c>
      <c r="K31" s="11" t="s">
        <v>27</v>
      </c>
      <c r="L31" s="11" t="s">
        <v>27</v>
      </c>
      <c r="M31" s="10" t="s">
        <v>28</v>
      </c>
      <c r="N31" s="8" t="s">
        <v>23</v>
      </c>
      <c r="O31" s="11"/>
      <c r="P31" s="11"/>
      <c r="Q31" s="8" t="s">
        <v>137</v>
      </c>
      <c r="R31" s="22" t="s">
        <v>221</v>
      </c>
    </row>
    <row r="32" spans="1:18" ht="33.6" customHeight="1" x14ac:dyDescent="0.3">
      <c r="A32" s="7" t="s">
        <v>138</v>
      </c>
      <c r="B32" s="8" t="s">
        <v>139</v>
      </c>
      <c r="C32" s="8" t="s">
        <v>43</v>
      </c>
      <c r="D32" s="9" t="s">
        <v>21</v>
      </c>
      <c r="E32" s="9" t="s">
        <v>22</v>
      </c>
      <c r="F32" s="8" t="s">
        <v>24</v>
      </c>
      <c r="G32" s="8" t="s">
        <v>24</v>
      </c>
      <c r="H32" s="10" t="s">
        <v>44</v>
      </c>
      <c r="I32" s="18">
        <v>46002</v>
      </c>
      <c r="J32" s="18" t="s">
        <v>45</v>
      </c>
      <c r="K32" s="11" t="s">
        <v>27</v>
      </c>
      <c r="L32" s="11" t="s">
        <v>27</v>
      </c>
      <c r="M32" s="10" t="s">
        <v>28</v>
      </c>
      <c r="N32" s="8" t="s">
        <v>24</v>
      </c>
      <c r="O32" s="11"/>
      <c r="P32" s="11"/>
      <c r="Q32" s="8" t="s">
        <v>140</v>
      </c>
      <c r="R32" s="22" t="s">
        <v>221</v>
      </c>
    </row>
    <row r="33" spans="1:18" ht="36" customHeight="1" x14ac:dyDescent="0.3">
      <c r="A33" s="7" t="s">
        <v>141</v>
      </c>
      <c r="B33" s="8" t="s">
        <v>142</v>
      </c>
      <c r="C33" s="8" t="s">
        <v>43</v>
      </c>
      <c r="D33" s="9" t="s">
        <v>21</v>
      </c>
      <c r="E33" s="9" t="s">
        <v>22</v>
      </c>
      <c r="F33" s="8" t="s">
        <v>114</v>
      </c>
      <c r="G33" s="8" t="s">
        <v>24</v>
      </c>
      <c r="H33" s="10" t="s">
        <v>44</v>
      </c>
      <c r="I33" s="18">
        <v>46002</v>
      </c>
      <c r="J33" s="18" t="s">
        <v>45</v>
      </c>
      <c r="K33" s="11" t="s">
        <v>27</v>
      </c>
      <c r="L33" s="11" t="s">
        <v>27</v>
      </c>
      <c r="M33" s="10" t="s">
        <v>28</v>
      </c>
      <c r="N33" s="8" t="s">
        <v>114</v>
      </c>
      <c r="O33" s="11"/>
      <c r="P33" s="11"/>
      <c r="Q33" s="8" t="s">
        <v>143</v>
      </c>
      <c r="R33" s="22" t="s">
        <v>221</v>
      </c>
    </row>
    <row r="34" spans="1:18" ht="35.4" customHeight="1" x14ac:dyDescent="0.3">
      <c r="A34" s="7" t="s">
        <v>144</v>
      </c>
      <c r="B34" s="8" t="s">
        <v>145</v>
      </c>
      <c r="C34" s="8" t="s">
        <v>77</v>
      </c>
      <c r="D34" s="9" t="s">
        <v>21</v>
      </c>
      <c r="E34" s="9" t="s">
        <v>22</v>
      </c>
      <c r="F34" s="8" t="s">
        <v>103</v>
      </c>
      <c r="G34" s="8" t="s">
        <v>24</v>
      </c>
      <c r="H34" s="10" t="s">
        <v>44</v>
      </c>
      <c r="I34" s="18">
        <v>45941</v>
      </c>
      <c r="J34" s="18" t="s">
        <v>78</v>
      </c>
      <c r="K34" s="11" t="s">
        <v>27</v>
      </c>
      <c r="L34" s="11" t="s">
        <v>27</v>
      </c>
      <c r="M34" s="10" t="s">
        <v>28</v>
      </c>
      <c r="N34" s="8" t="s">
        <v>23</v>
      </c>
      <c r="O34" s="11"/>
      <c r="P34" s="11"/>
      <c r="Q34" s="8" t="s">
        <v>137</v>
      </c>
      <c r="R34" s="22" t="s">
        <v>227</v>
      </c>
    </row>
    <row r="35" spans="1:18" ht="32.4" customHeight="1" x14ac:dyDescent="0.3">
      <c r="A35" s="7" t="s">
        <v>146</v>
      </c>
      <c r="B35" s="8" t="s">
        <v>147</v>
      </c>
      <c r="C35" s="8" t="s">
        <v>77</v>
      </c>
      <c r="D35" s="9" t="s">
        <v>21</v>
      </c>
      <c r="E35" s="9" t="s">
        <v>22</v>
      </c>
      <c r="F35" s="8" t="s">
        <v>24</v>
      </c>
      <c r="G35" s="8" t="s">
        <v>24</v>
      </c>
      <c r="H35" s="10" t="s">
        <v>44</v>
      </c>
      <c r="I35" s="18">
        <v>45941</v>
      </c>
      <c r="J35" s="18" t="s">
        <v>78</v>
      </c>
      <c r="K35" s="11" t="s">
        <v>27</v>
      </c>
      <c r="L35" s="11" t="s">
        <v>27</v>
      </c>
      <c r="M35" s="10" t="s">
        <v>28</v>
      </c>
      <c r="N35" s="8" t="s">
        <v>24</v>
      </c>
      <c r="O35" s="11"/>
      <c r="P35" s="11"/>
      <c r="Q35" s="8" t="s">
        <v>140</v>
      </c>
      <c r="R35" s="22" t="s">
        <v>227</v>
      </c>
    </row>
    <row r="36" spans="1:18" ht="41.4" customHeight="1" x14ac:dyDescent="0.3">
      <c r="A36" s="7" t="s">
        <v>148</v>
      </c>
      <c r="B36" s="8" t="s">
        <v>149</v>
      </c>
      <c r="C36" s="8" t="s">
        <v>77</v>
      </c>
      <c r="D36" s="9" t="s">
        <v>21</v>
      </c>
      <c r="E36" s="9" t="s">
        <v>22</v>
      </c>
      <c r="F36" s="8" t="s">
        <v>114</v>
      </c>
      <c r="G36" s="8" t="s">
        <v>24</v>
      </c>
      <c r="H36" s="10" t="s">
        <v>44</v>
      </c>
      <c r="I36" s="18">
        <v>45941</v>
      </c>
      <c r="J36" s="18" t="s">
        <v>78</v>
      </c>
      <c r="K36" s="11" t="s">
        <v>27</v>
      </c>
      <c r="L36" s="11" t="s">
        <v>27</v>
      </c>
      <c r="M36" s="10" t="s">
        <v>28</v>
      </c>
      <c r="N36" s="8" t="s">
        <v>114</v>
      </c>
      <c r="O36" s="11"/>
      <c r="P36" s="11"/>
      <c r="Q36" s="8" t="s">
        <v>143</v>
      </c>
      <c r="R36" s="22" t="s">
        <v>227</v>
      </c>
    </row>
    <row r="37" spans="1:18" ht="30" customHeight="1" x14ac:dyDescent="0.3">
      <c r="A37" s="7" t="s">
        <v>150</v>
      </c>
      <c r="B37" s="8" t="s">
        <v>151</v>
      </c>
      <c r="C37" s="8" t="s">
        <v>52</v>
      </c>
      <c r="D37" s="9" t="s">
        <v>21</v>
      </c>
      <c r="E37" s="9" t="s">
        <v>22</v>
      </c>
      <c r="F37" s="8" t="s">
        <v>103</v>
      </c>
      <c r="G37" s="8" t="s">
        <v>24</v>
      </c>
      <c r="H37" s="10" t="s">
        <v>44</v>
      </c>
      <c r="I37" s="18">
        <v>45889</v>
      </c>
      <c r="J37" s="18" t="s">
        <v>53</v>
      </c>
      <c r="K37" s="11" t="s">
        <v>27</v>
      </c>
      <c r="L37" s="11" t="s">
        <v>27</v>
      </c>
      <c r="M37" s="10" t="s">
        <v>28</v>
      </c>
      <c r="N37" s="8" t="s">
        <v>23</v>
      </c>
      <c r="O37" s="11"/>
      <c r="P37" s="11"/>
      <c r="Q37" s="8" t="s">
        <v>137</v>
      </c>
      <c r="R37" s="22" t="s">
        <v>223</v>
      </c>
    </row>
    <row r="38" spans="1:18" ht="37.200000000000003" customHeight="1" x14ac:dyDescent="0.3">
      <c r="A38" s="7" t="s">
        <v>152</v>
      </c>
      <c r="B38" s="8" t="s">
        <v>153</v>
      </c>
      <c r="C38" s="8" t="s">
        <v>52</v>
      </c>
      <c r="D38" s="9" t="s">
        <v>21</v>
      </c>
      <c r="E38" s="9" t="s">
        <v>22</v>
      </c>
      <c r="F38" s="8" t="s">
        <v>24</v>
      </c>
      <c r="G38" s="8" t="s">
        <v>24</v>
      </c>
      <c r="H38" s="10" t="s">
        <v>44</v>
      </c>
      <c r="I38" s="18">
        <v>45889</v>
      </c>
      <c r="J38" s="18" t="s">
        <v>53</v>
      </c>
      <c r="K38" s="11" t="s">
        <v>27</v>
      </c>
      <c r="L38" s="11" t="s">
        <v>27</v>
      </c>
      <c r="M38" s="10" t="s">
        <v>28</v>
      </c>
      <c r="N38" s="8" t="s">
        <v>24</v>
      </c>
      <c r="O38" s="11"/>
      <c r="P38" s="11"/>
      <c r="Q38" s="8" t="s">
        <v>140</v>
      </c>
      <c r="R38" s="22" t="s">
        <v>223</v>
      </c>
    </row>
    <row r="39" spans="1:18" ht="39.6" customHeight="1" x14ac:dyDescent="0.3">
      <c r="A39" s="7" t="s">
        <v>154</v>
      </c>
      <c r="B39" s="8" t="s">
        <v>155</v>
      </c>
      <c r="C39" s="8" t="s">
        <v>52</v>
      </c>
      <c r="D39" s="9" t="s">
        <v>21</v>
      </c>
      <c r="E39" s="9" t="s">
        <v>22</v>
      </c>
      <c r="F39" s="8" t="s">
        <v>114</v>
      </c>
      <c r="G39" s="8" t="s">
        <v>24</v>
      </c>
      <c r="H39" s="10" t="s">
        <v>44</v>
      </c>
      <c r="I39" s="18">
        <v>45889</v>
      </c>
      <c r="J39" s="18" t="s">
        <v>53</v>
      </c>
      <c r="K39" s="11" t="s">
        <v>27</v>
      </c>
      <c r="L39" s="11" t="s">
        <v>27</v>
      </c>
      <c r="M39" s="10" t="s">
        <v>28</v>
      </c>
      <c r="N39" s="8" t="s">
        <v>114</v>
      </c>
      <c r="O39" s="11"/>
      <c r="P39" s="11"/>
      <c r="Q39" s="8" t="s">
        <v>143</v>
      </c>
      <c r="R39" s="22" t="s">
        <v>223</v>
      </c>
    </row>
    <row r="40" spans="1:18" ht="31.8" customHeight="1" x14ac:dyDescent="0.3">
      <c r="A40" s="7" t="s">
        <v>156</v>
      </c>
      <c r="B40" s="8" t="s">
        <v>157</v>
      </c>
      <c r="C40" s="8" t="s">
        <v>20</v>
      </c>
      <c r="D40" s="9" t="s">
        <v>21</v>
      </c>
      <c r="E40" s="9" t="s">
        <v>22</v>
      </c>
      <c r="F40" s="8" t="s">
        <v>103</v>
      </c>
      <c r="G40" s="8" t="s">
        <v>24</v>
      </c>
      <c r="H40" s="10" t="s">
        <v>25</v>
      </c>
      <c r="I40" s="18">
        <v>45873</v>
      </c>
      <c r="J40" s="18" t="s">
        <v>26</v>
      </c>
      <c r="K40" s="11" t="s">
        <v>27</v>
      </c>
      <c r="L40" s="11" t="s">
        <v>27</v>
      </c>
      <c r="M40" s="10" t="s">
        <v>28</v>
      </c>
      <c r="N40" s="8" t="s">
        <v>23</v>
      </c>
      <c r="O40" s="11"/>
      <c r="P40" s="11"/>
      <c r="Q40" s="8" t="s">
        <v>137</v>
      </c>
      <c r="R40" s="22" t="s">
        <v>218</v>
      </c>
    </row>
    <row r="41" spans="1:18" ht="36.6" customHeight="1" x14ac:dyDescent="0.3">
      <c r="A41" s="7" t="s">
        <v>158</v>
      </c>
      <c r="B41" s="8" t="s">
        <v>159</v>
      </c>
      <c r="C41" s="8" t="s">
        <v>20</v>
      </c>
      <c r="D41" s="9" t="s">
        <v>21</v>
      </c>
      <c r="E41" s="9" t="s">
        <v>22</v>
      </c>
      <c r="F41" s="8" t="s">
        <v>114</v>
      </c>
      <c r="G41" s="8" t="s">
        <v>24</v>
      </c>
      <c r="H41" s="10" t="s">
        <v>25</v>
      </c>
      <c r="I41" s="18">
        <v>45873</v>
      </c>
      <c r="J41" s="18" t="s">
        <v>26</v>
      </c>
      <c r="K41" s="11" t="s">
        <v>27</v>
      </c>
      <c r="L41" s="11" t="s">
        <v>27</v>
      </c>
      <c r="M41" s="10" t="s">
        <v>28</v>
      </c>
      <c r="N41" s="8" t="s">
        <v>114</v>
      </c>
      <c r="O41" s="11"/>
      <c r="P41" s="11"/>
      <c r="Q41" s="8" t="s">
        <v>143</v>
      </c>
      <c r="R41" s="22" t="s">
        <v>218</v>
      </c>
    </row>
    <row r="42" spans="1:18" ht="36" customHeight="1" x14ac:dyDescent="0.3">
      <c r="A42" s="7" t="s">
        <v>160</v>
      </c>
      <c r="B42" s="8" t="s">
        <v>161</v>
      </c>
      <c r="C42" s="8" t="s">
        <v>20</v>
      </c>
      <c r="D42" s="9" t="s">
        <v>21</v>
      </c>
      <c r="E42" s="9" t="s">
        <v>22</v>
      </c>
      <c r="F42" s="8" t="s">
        <v>24</v>
      </c>
      <c r="G42" s="8" t="s">
        <v>24</v>
      </c>
      <c r="H42" s="10" t="s">
        <v>25</v>
      </c>
      <c r="I42" s="18">
        <v>45873</v>
      </c>
      <c r="J42" s="18" t="s">
        <v>26</v>
      </c>
      <c r="K42" s="11" t="s">
        <v>27</v>
      </c>
      <c r="L42" s="11" t="s">
        <v>27</v>
      </c>
      <c r="M42" s="10" t="s">
        <v>28</v>
      </c>
      <c r="N42" s="8" t="s">
        <v>24</v>
      </c>
      <c r="O42" s="11"/>
      <c r="P42" s="11"/>
      <c r="Q42" s="8" t="s">
        <v>140</v>
      </c>
      <c r="R42" s="22" t="s">
        <v>218</v>
      </c>
    </row>
    <row r="43" spans="1:18" ht="32.4" customHeight="1" x14ac:dyDescent="0.3">
      <c r="A43" s="7" t="s">
        <v>162</v>
      </c>
      <c r="B43" s="8" t="s">
        <v>163</v>
      </c>
      <c r="C43" s="8" t="s">
        <v>32</v>
      </c>
      <c r="D43" s="9" t="s">
        <v>21</v>
      </c>
      <c r="E43" s="9" t="s">
        <v>22</v>
      </c>
      <c r="F43" s="8" t="s">
        <v>103</v>
      </c>
      <c r="G43" s="8" t="s">
        <v>23</v>
      </c>
      <c r="H43" s="10" t="s">
        <v>34</v>
      </c>
      <c r="I43" s="18">
        <v>45885</v>
      </c>
      <c r="J43" s="18" t="s">
        <v>35</v>
      </c>
      <c r="K43" s="11" t="s">
        <v>27</v>
      </c>
      <c r="L43" s="11" t="s">
        <v>27</v>
      </c>
      <c r="M43" s="10" t="s">
        <v>28</v>
      </c>
      <c r="N43" s="8" t="s">
        <v>23</v>
      </c>
      <c r="O43" s="11"/>
      <c r="P43" s="11"/>
      <c r="Q43" s="8" t="s">
        <v>137</v>
      </c>
      <c r="R43" s="22" t="s">
        <v>219</v>
      </c>
    </row>
    <row r="44" spans="1:18" ht="31.8" customHeight="1" x14ac:dyDescent="0.3">
      <c r="A44" s="7" t="s">
        <v>164</v>
      </c>
      <c r="B44" s="8" t="s">
        <v>165</v>
      </c>
      <c r="C44" s="8" t="s">
        <v>32</v>
      </c>
      <c r="D44" s="9" t="s">
        <v>21</v>
      </c>
      <c r="E44" s="9" t="s">
        <v>22</v>
      </c>
      <c r="F44" s="8" t="s">
        <v>24</v>
      </c>
      <c r="G44" s="8" t="s">
        <v>23</v>
      </c>
      <c r="H44" s="10" t="s">
        <v>34</v>
      </c>
      <c r="I44" s="18">
        <v>45885</v>
      </c>
      <c r="J44" s="18" t="s">
        <v>35</v>
      </c>
      <c r="K44" s="11" t="s">
        <v>27</v>
      </c>
      <c r="L44" s="11" t="s">
        <v>27</v>
      </c>
      <c r="M44" s="10" t="s">
        <v>28</v>
      </c>
      <c r="N44" s="8" t="s">
        <v>24</v>
      </c>
      <c r="O44" s="11"/>
      <c r="P44" s="11"/>
      <c r="Q44" s="8" t="s">
        <v>140</v>
      </c>
      <c r="R44" s="22" t="s">
        <v>219</v>
      </c>
    </row>
    <row r="45" spans="1:18" ht="33.6" customHeight="1" x14ac:dyDescent="0.3">
      <c r="A45" s="7" t="s">
        <v>166</v>
      </c>
      <c r="B45" s="8" t="s">
        <v>167</v>
      </c>
      <c r="C45" s="8" t="s">
        <v>32</v>
      </c>
      <c r="D45" s="9" t="s">
        <v>21</v>
      </c>
      <c r="E45" s="9" t="s">
        <v>22</v>
      </c>
      <c r="F45" s="8" t="s">
        <v>114</v>
      </c>
      <c r="G45" s="8" t="s">
        <v>23</v>
      </c>
      <c r="H45" s="10" t="s">
        <v>34</v>
      </c>
      <c r="I45" s="18">
        <v>45885</v>
      </c>
      <c r="J45" s="18" t="s">
        <v>35</v>
      </c>
      <c r="K45" s="11" t="s">
        <v>27</v>
      </c>
      <c r="L45" s="11" t="s">
        <v>27</v>
      </c>
      <c r="M45" s="10" t="s">
        <v>28</v>
      </c>
      <c r="N45" s="8" t="s">
        <v>114</v>
      </c>
      <c r="O45" s="11"/>
      <c r="P45" s="11"/>
      <c r="Q45" s="8" t="s">
        <v>143</v>
      </c>
      <c r="R45" s="22" t="s">
        <v>219</v>
      </c>
    </row>
    <row r="46" spans="1:18" ht="39" customHeight="1" x14ac:dyDescent="0.3">
      <c r="A46" s="7" t="s">
        <v>168</v>
      </c>
      <c r="B46" s="8" t="s">
        <v>169</v>
      </c>
      <c r="C46" s="8" t="s">
        <v>56</v>
      </c>
      <c r="D46" s="9" t="s">
        <v>21</v>
      </c>
      <c r="E46" s="9" t="s">
        <v>22</v>
      </c>
      <c r="F46" s="8"/>
      <c r="G46" s="8" t="s">
        <v>23</v>
      </c>
      <c r="H46" s="10" t="s">
        <v>34</v>
      </c>
      <c r="I46" s="18">
        <v>45856</v>
      </c>
      <c r="J46" s="18" t="s">
        <v>170</v>
      </c>
      <c r="K46" s="11" t="s">
        <v>27</v>
      </c>
      <c r="L46" s="11" t="s">
        <v>27</v>
      </c>
      <c r="M46" s="10" t="s">
        <v>28</v>
      </c>
      <c r="N46" s="8" t="s">
        <v>23</v>
      </c>
      <c r="O46" s="11"/>
      <c r="P46" s="11"/>
      <c r="Q46" s="8" t="s">
        <v>137</v>
      </c>
      <c r="R46" s="22" t="s">
        <v>224</v>
      </c>
    </row>
    <row r="47" spans="1:18" ht="35.4" customHeight="1" x14ac:dyDescent="0.3">
      <c r="A47" s="7" t="s">
        <v>171</v>
      </c>
      <c r="B47" s="8" t="s">
        <v>172</v>
      </c>
      <c r="C47" s="8" t="s">
        <v>56</v>
      </c>
      <c r="D47" s="9" t="s">
        <v>21</v>
      </c>
      <c r="E47" s="9" t="s">
        <v>22</v>
      </c>
      <c r="F47" s="8"/>
      <c r="G47" s="8" t="s">
        <v>23</v>
      </c>
      <c r="H47" s="10" t="s">
        <v>34</v>
      </c>
      <c r="I47" s="18">
        <v>45856</v>
      </c>
      <c r="J47" s="18" t="s">
        <v>170</v>
      </c>
      <c r="K47" s="11" t="s">
        <v>27</v>
      </c>
      <c r="L47" s="11" t="s">
        <v>27</v>
      </c>
      <c r="M47" s="10" t="s">
        <v>28</v>
      </c>
      <c r="N47" s="8" t="s">
        <v>24</v>
      </c>
      <c r="O47" s="11"/>
      <c r="P47" s="11"/>
      <c r="Q47" s="8" t="s">
        <v>140</v>
      </c>
      <c r="R47" s="22" t="s">
        <v>224</v>
      </c>
    </row>
    <row r="48" spans="1:18" ht="34.200000000000003" customHeight="1" x14ac:dyDescent="0.3">
      <c r="A48" s="7" t="s">
        <v>173</v>
      </c>
      <c r="B48" s="8" t="s">
        <v>174</v>
      </c>
      <c r="C48" s="8" t="s">
        <v>56</v>
      </c>
      <c r="D48" s="9" t="s">
        <v>21</v>
      </c>
      <c r="E48" s="9" t="s">
        <v>22</v>
      </c>
      <c r="F48" s="8"/>
      <c r="G48" s="8" t="s">
        <v>23</v>
      </c>
      <c r="H48" s="10" t="s">
        <v>34</v>
      </c>
      <c r="I48" s="18">
        <v>45856</v>
      </c>
      <c r="J48" s="18" t="s">
        <v>170</v>
      </c>
      <c r="K48" s="11" t="s">
        <v>27</v>
      </c>
      <c r="L48" s="11" t="s">
        <v>27</v>
      </c>
      <c r="M48" s="10" t="s">
        <v>28</v>
      </c>
      <c r="N48" s="8" t="s">
        <v>114</v>
      </c>
      <c r="O48" s="11"/>
      <c r="P48" s="11"/>
      <c r="Q48" s="8" t="s">
        <v>143</v>
      </c>
      <c r="R48" s="22" t="s">
        <v>224</v>
      </c>
    </row>
    <row r="49" spans="1:18" ht="35.4" customHeight="1" x14ac:dyDescent="0.3">
      <c r="A49" s="7" t="s">
        <v>175</v>
      </c>
      <c r="B49" s="8" t="s">
        <v>176</v>
      </c>
      <c r="C49" s="8" t="s">
        <v>38</v>
      </c>
      <c r="D49" s="9" t="s">
        <v>21</v>
      </c>
      <c r="E49" s="9" t="s">
        <v>177</v>
      </c>
      <c r="F49" s="8" t="s">
        <v>114</v>
      </c>
      <c r="G49" s="8" t="s">
        <v>23</v>
      </c>
      <c r="H49" s="10" t="s">
        <v>39</v>
      </c>
      <c r="I49" s="18">
        <v>45949</v>
      </c>
      <c r="J49" s="18" t="s">
        <v>178</v>
      </c>
      <c r="K49" s="11" t="s">
        <v>27</v>
      </c>
      <c r="L49" s="11" t="s">
        <v>27</v>
      </c>
      <c r="M49" s="10" t="s">
        <v>28</v>
      </c>
      <c r="N49" s="8" t="s">
        <v>23</v>
      </c>
      <c r="O49" s="11"/>
      <c r="P49" s="11"/>
      <c r="Q49" s="8"/>
      <c r="R49" s="22" t="s">
        <v>220</v>
      </c>
    </row>
    <row r="50" spans="1:18" ht="46.8" customHeight="1" x14ac:dyDescent="0.3">
      <c r="A50" s="7" t="s">
        <v>179</v>
      </c>
      <c r="B50" s="8" t="s">
        <v>180</v>
      </c>
      <c r="C50" s="8" t="s">
        <v>38</v>
      </c>
      <c r="D50" s="9" t="s">
        <v>21</v>
      </c>
      <c r="E50" s="9" t="s">
        <v>22</v>
      </c>
      <c r="F50" s="8"/>
      <c r="G50" s="8" t="s">
        <v>23</v>
      </c>
      <c r="H50" s="10" t="s">
        <v>39</v>
      </c>
      <c r="I50" s="18">
        <v>45794</v>
      </c>
      <c r="J50" s="18" t="s">
        <v>181</v>
      </c>
      <c r="K50" s="11" t="s">
        <v>27</v>
      </c>
      <c r="L50" s="11" t="s">
        <v>27</v>
      </c>
      <c r="M50" s="10" t="s">
        <v>28</v>
      </c>
      <c r="N50" s="8" t="s">
        <v>24</v>
      </c>
      <c r="O50" s="11"/>
      <c r="P50" s="11"/>
      <c r="Q50" s="8" t="s">
        <v>140</v>
      </c>
      <c r="R50" s="22" t="s">
        <v>220</v>
      </c>
    </row>
    <row r="51" spans="1:18" ht="36.6" customHeight="1" x14ac:dyDescent="0.3">
      <c r="A51" s="7" t="s">
        <v>182</v>
      </c>
      <c r="B51" s="8" t="s">
        <v>180</v>
      </c>
      <c r="C51" s="8" t="s">
        <v>38</v>
      </c>
      <c r="D51" s="9" t="s">
        <v>21</v>
      </c>
      <c r="E51" s="9" t="s">
        <v>22</v>
      </c>
      <c r="F51" s="8"/>
      <c r="G51" s="8" t="s">
        <v>23</v>
      </c>
      <c r="H51" s="10" t="s">
        <v>39</v>
      </c>
      <c r="I51" s="18">
        <v>45794</v>
      </c>
      <c r="J51" s="18" t="s">
        <v>181</v>
      </c>
      <c r="K51" s="11" t="s">
        <v>27</v>
      </c>
      <c r="L51" s="11" t="s">
        <v>27</v>
      </c>
      <c r="M51" s="10" t="s">
        <v>28</v>
      </c>
      <c r="N51" s="8" t="s">
        <v>23</v>
      </c>
      <c r="O51" s="11"/>
      <c r="P51" s="11"/>
      <c r="Q51" s="8" t="s">
        <v>137</v>
      </c>
      <c r="R51" s="22" t="s">
        <v>220</v>
      </c>
    </row>
    <row r="52" spans="1:18" ht="34.200000000000003" customHeight="1" x14ac:dyDescent="0.3">
      <c r="A52" s="7" t="s">
        <v>183</v>
      </c>
      <c r="B52" s="8" t="s">
        <v>180</v>
      </c>
      <c r="C52" s="8" t="s">
        <v>38</v>
      </c>
      <c r="D52" s="9" t="s">
        <v>21</v>
      </c>
      <c r="E52" s="9" t="s">
        <v>22</v>
      </c>
      <c r="F52" s="8"/>
      <c r="G52" s="8" t="s">
        <v>23</v>
      </c>
      <c r="H52" s="10" t="s">
        <v>39</v>
      </c>
      <c r="I52" s="18">
        <v>45794</v>
      </c>
      <c r="J52" s="18" t="s">
        <v>181</v>
      </c>
      <c r="K52" s="11" t="s">
        <v>27</v>
      </c>
      <c r="L52" s="11" t="s">
        <v>27</v>
      </c>
      <c r="M52" s="10" t="s">
        <v>28</v>
      </c>
      <c r="N52" s="8" t="s">
        <v>114</v>
      </c>
      <c r="O52" s="11"/>
      <c r="P52" s="11"/>
      <c r="Q52" s="8" t="s">
        <v>143</v>
      </c>
      <c r="R52" s="22" t="s">
        <v>220</v>
      </c>
    </row>
    <row r="53" spans="1:18" ht="28.8" customHeight="1" x14ac:dyDescent="0.3">
      <c r="A53" s="7" t="s">
        <v>184</v>
      </c>
      <c r="B53" s="8" t="s">
        <v>185</v>
      </c>
      <c r="C53" s="8" t="s">
        <v>38</v>
      </c>
      <c r="D53" s="9" t="s">
        <v>21</v>
      </c>
      <c r="E53" s="9" t="s">
        <v>22</v>
      </c>
      <c r="F53" s="8" t="s">
        <v>114</v>
      </c>
      <c r="G53" s="8" t="s">
        <v>23</v>
      </c>
      <c r="H53" s="10" t="s">
        <v>39</v>
      </c>
      <c r="I53" s="18">
        <v>45814</v>
      </c>
      <c r="J53" s="18" t="s">
        <v>186</v>
      </c>
      <c r="K53" s="11" t="s">
        <v>27</v>
      </c>
      <c r="L53" s="11" t="s">
        <v>27</v>
      </c>
      <c r="M53" s="10" t="s">
        <v>28</v>
      </c>
      <c r="N53" s="8" t="s">
        <v>114</v>
      </c>
      <c r="O53" s="11"/>
      <c r="P53" s="11"/>
      <c r="Q53" s="8" t="s">
        <v>143</v>
      </c>
      <c r="R53" s="22" t="s">
        <v>231</v>
      </c>
    </row>
    <row r="54" spans="1:18" ht="37.200000000000003" customHeight="1" x14ac:dyDescent="0.3">
      <c r="A54" s="7" t="s">
        <v>187</v>
      </c>
      <c r="B54" s="8" t="s">
        <v>188</v>
      </c>
      <c r="C54" s="8" t="s">
        <v>56</v>
      </c>
      <c r="D54" s="9" t="s">
        <v>21</v>
      </c>
      <c r="E54" s="9" t="s">
        <v>22</v>
      </c>
      <c r="F54" s="8"/>
      <c r="G54" s="8" t="s">
        <v>23</v>
      </c>
      <c r="H54" s="10" t="s">
        <v>34</v>
      </c>
      <c r="I54" s="18">
        <v>45989</v>
      </c>
      <c r="J54" s="18" t="s">
        <v>189</v>
      </c>
      <c r="K54" s="11" t="s">
        <v>27</v>
      </c>
      <c r="L54" s="11" t="s">
        <v>27</v>
      </c>
      <c r="M54" s="10" t="s">
        <v>34</v>
      </c>
      <c r="N54" s="8" t="s">
        <v>23</v>
      </c>
      <c r="O54" s="11"/>
      <c r="P54" s="11"/>
      <c r="Q54" s="8" t="s">
        <v>29</v>
      </c>
      <c r="R54" s="22" t="s">
        <v>224</v>
      </c>
    </row>
    <row r="55" spans="1:18" ht="37.799999999999997" customHeight="1" x14ac:dyDescent="0.3">
      <c r="A55" s="7" t="s">
        <v>190</v>
      </c>
      <c r="B55" s="8" t="s">
        <v>191</v>
      </c>
      <c r="C55" s="8" t="s">
        <v>56</v>
      </c>
      <c r="D55" s="9" t="s">
        <v>21</v>
      </c>
      <c r="E55" s="9" t="s">
        <v>22</v>
      </c>
      <c r="F55" s="8"/>
      <c r="G55" s="8" t="s">
        <v>23</v>
      </c>
      <c r="H55" s="10" t="s">
        <v>34</v>
      </c>
      <c r="I55" s="18">
        <v>45980</v>
      </c>
      <c r="J55" s="18" t="s">
        <v>192</v>
      </c>
      <c r="K55" s="11" t="s">
        <v>27</v>
      </c>
      <c r="L55" s="11" t="s">
        <v>27</v>
      </c>
      <c r="M55" s="10" t="s">
        <v>34</v>
      </c>
      <c r="N55" s="8" t="s">
        <v>23</v>
      </c>
      <c r="O55" s="11"/>
      <c r="P55" s="11"/>
      <c r="Q55" s="8"/>
      <c r="R55" s="22" t="s">
        <v>224</v>
      </c>
    </row>
    <row r="56" spans="1:18" ht="34.799999999999997" customHeight="1" x14ac:dyDescent="0.3">
      <c r="A56" s="7" t="s">
        <v>193</v>
      </c>
      <c r="B56" s="8" t="s">
        <v>180</v>
      </c>
      <c r="C56" s="8" t="s">
        <v>38</v>
      </c>
      <c r="D56" s="9" t="s">
        <v>21</v>
      </c>
      <c r="E56" s="9" t="s">
        <v>22</v>
      </c>
      <c r="F56" s="8"/>
      <c r="G56" s="8" t="s">
        <v>23</v>
      </c>
      <c r="H56" s="10" t="s">
        <v>39</v>
      </c>
      <c r="I56" s="18">
        <v>45794</v>
      </c>
      <c r="J56" s="18" t="s">
        <v>181</v>
      </c>
      <c r="K56" s="11" t="s">
        <v>27</v>
      </c>
      <c r="L56" s="11" t="s">
        <v>27</v>
      </c>
      <c r="M56" s="10" t="s">
        <v>39</v>
      </c>
      <c r="N56" s="8" t="s">
        <v>23</v>
      </c>
      <c r="O56" s="11"/>
      <c r="P56" s="11"/>
      <c r="Q56" s="8" t="s">
        <v>29</v>
      </c>
      <c r="R56" s="22" t="s">
        <v>220</v>
      </c>
    </row>
    <row r="57" spans="1:18" ht="34.799999999999997" customHeight="1" x14ac:dyDescent="0.3">
      <c r="A57" s="7" t="s">
        <v>194</v>
      </c>
      <c r="B57" s="8" t="s">
        <v>195</v>
      </c>
      <c r="C57" s="8" t="s">
        <v>38</v>
      </c>
      <c r="D57" s="9" t="s">
        <v>21</v>
      </c>
      <c r="E57" s="9" t="s">
        <v>177</v>
      </c>
      <c r="F57" s="8"/>
      <c r="G57" s="8" t="s">
        <v>114</v>
      </c>
      <c r="H57" s="10" t="s">
        <v>196</v>
      </c>
      <c r="I57" s="18">
        <v>45784</v>
      </c>
      <c r="J57" s="18" t="s">
        <v>197</v>
      </c>
      <c r="K57" s="11" t="s">
        <v>27</v>
      </c>
      <c r="L57" s="11" t="s">
        <v>27</v>
      </c>
      <c r="M57" s="10" t="s">
        <v>196</v>
      </c>
      <c r="N57" s="8" t="s">
        <v>114</v>
      </c>
      <c r="O57" s="11"/>
      <c r="P57" s="11"/>
      <c r="Q57" s="8" t="s">
        <v>143</v>
      </c>
      <c r="R57" s="22" t="s">
        <v>232</v>
      </c>
    </row>
    <row r="58" spans="1:18" ht="48.75" customHeight="1" x14ac:dyDescent="0.3">
      <c r="A58" s="7" t="s">
        <v>198</v>
      </c>
      <c r="B58" s="8" t="s">
        <v>199</v>
      </c>
      <c r="C58" s="8" t="s">
        <v>98</v>
      </c>
      <c r="D58" s="9" t="s">
        <v>99</v>
      </c>
      <c r="E58" s="9" t="s">
        <v>48</v>
      </c>
      <c r="F58" s="8" t="s">
        <v>33</v>
      </c>
      <c r="G58" s="8" t="s">
        <v>23</v>
      </c>
      <c r="H58" s="10" t="s">
        <v>28</v>
      </c>
      <c r="I58" s="18">
        <v>46133</v>
      </c>
      <c r="J58" s="18" t="s">
        <v>200</v>
      </c>
      <c r="K58" s="11" t="s">
        <v>27</v>
      </c>
      <c r="L58" s="11" t="s">
        <v>27</v>
      </c>
      <c r="M58" s="10"/>
      <c r="N58" s="8"/>
      <c r="O58" s="11"/>
      <c r="P58" s="11"/>
      <c r="Q58" s="8"/>
      <c r="R58" s="22" t="s">
        <v>228</v>
      </c>
    </row>
    <row r="59" spans="1:18" ht="48.75" customHeight="1" x14ac:dyDescent="0.3">
      <c r="A59" s="12" t="s">
        <v>201</v>
      </c>
      <c r="B59" s="13" t="s">
        <v>202</v>
      </c>
      <c r="C59" s="13" t="s">
        <v>98</v>
      </c>
      <c r="D59" s="14" t="s">
        <v>21</v>
      </c>
      <c r="E59" s="14" t="s">
        <v>22</v>
      </c>
      <c r="F59" s="13" t="s">
        <v>33</v>
      </c>
      <c r="G59" s="13" t="s">
        <v>23</v>
      </c>
      <c r="H59" s="15" t="s">
        <v>28</v>
      </c>
      <c r="I59" s="23">
        <v>46119</v>
      </c>
      <c r="J59" s="23" t="s">
        <v>203</v>
      </c>
      <c r="K59" s="16" t="s">
        <v>27</v>
      </c>
      <c r="L59" s="16" t="s">
        <v>27</v>
      </c>
      <c r="M59" s="15" t="s">
        <v>28</v>
      </c>
      <c r="N59" s="13" t="s">
        <v>23</v>
      </c>
      <c r="O59" s="16"/>
      <c r="P59" s="16"/>
      <c r="Q59" s="13"/>
      <c r="R59" s="24" t="s">
        <v>228</v>
      </c>
    </row>
  </sheetData>
  <conditionalFormatting sqref="A2:R59">
    <cfRule type="expression" dxfId="26" priority="5">
      <formula>MOD(ROW(),2)=0</formula>
    </cfRule>
  </conditionalFormatting>
  <conditionalFormatting sqref="D2:D59">
    <cfRule type="containsText" dxfId="25" priority="1" operator="containsText" text="Completed"/>
    <cfRule type="containsText" dxfId="24" priority="2" operator="containsText" text="Not started"/>
  </conditionalFormatting>
  <conditionalFormatting sqref="E2:E59">
    <cfRule type="containsText" dxfId="23" priority="3" operator="containsText" text="Urgent"/>
    <cfRule type="containsText" dxfId="22" priority="4" operator="containsText" text="Important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showGridLines="0" workbookViewId="0"/>
  </sheetViews>
  <sheetFormatPr defaultRowHeight="15.6" x14ac:dyDescent="0.3"/>
  <cols>
    <col min="1" max="1" width="20" customWidth="1"/>
    <col min="2" max="2" width="45" customWidth="1"/>
  </cols>
  <sheetData>
    <row r="1" spans="1:2" ht="24" customHeight="1" x14ac:dyDescent="0.3">
      <c r="A1" s="1" t="s">
        <v>204</v>
      </c>
      <c r="B1" s="2" t="s">
        <v>205</v>
      </c>
    </row>
    <row r="2" spans="1:2" ht="24" customHeight="1" x14ac:dyDescent="0.3">
      <c r="A2" s="1" t="s">
        <v>206</v>
      </c>
      <c r="B2" s="2" t="s">
        <v>207</v>
      </c>
    </row>
    <row r="3" spans="1:2" ht="24" customHeight="1" x14ac:dyDescent="0.3">
      <c r="A3" s="1" t="s">
        <v>208</v>
      </c>
      <c r="B3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/>
  </sheetViews>
  <sheetFormatPr defaultRowHeight="15.6" x14ac:dyDescent="0.3"/>
  <cols>
    <col min="1" max="1" width="24" customWidth="1"/>
    <col min="2" max="2" width="14" customWidth="1"/>
    <col min="3" max="3" width="4" customWidth="1"/>
    <col min="4" max="4" width="34" customWidth="1"/>
    <col min="5" max="5" width="14" customWidth="1"/>
  </cols>
  <sheetData>
    <row r="1" spans="1:5" ht="34.049999999999997" customHeight="1" x14ac:dyDescent="0.4">
      <c r="A1" s="17" t="s">
        <v>209</v>
      </c>
      <c r="B1" s="17" t="s">
        <v>209</v>
      </c>
      <c r="C1" s="17" t="s">
        <v>209</v>
      </c>
      <c r="D1" s="17" t="s">
        <v>209</v>
      </c>
      <c r="E1" s="17" t="s">
        <v>209</v>
      </c>
    </row>
    <row r="3" spans="1:5" ht="22.95" customHeight="1" x14ac:dyDescent="0.3">
      <c r="A3" s="1" t="s">
        <v>210</v>
      </c>
      <c r="B3" s="1" t="s">
        <v>211</v>
      </c>
      <c r="D3" s="1" t="s">
        <v>2</v>
      </c>
      <c r="E3" s="1" t="s">
        <v>212</v>
      </c>
    </row>
    <row r="4" spans="1:5" ht="22.95" customHeight="1" x14ac:dyDescent="0.3">
      <c r="A4" s="3" t="s">
        <v>213</v>
      </c>
      <c r="B4" s="5">
        <f>COUNTA(Tasks!B2:B59)</f>
        <v>58</v>
      </c>
      <c r="D4" s="6" t="s">
        <v>20</v>
      </c>
      <c r="E4" s="4">
        <f>COUNTIF(Tasks!C2:C59,D4)</f>
        <v>6</v>
      </c>
    </row>
    <row r="5" spans="1:5" ht="22.95" customHeight="1" x14ac:dyDescent="0.3">
      <c r="A5" s="3" t="s">
        <v>214</v>
      </c>
      <c r="B5" s="5">
        <f>COUNTIF(Tasks!D2:D59,"Completed")</f>
        <v>55</v>
      </c>
      <c r="D5" s="6" t="s">
        <v>32</v>
      </c>
      <c r="E5" s="4">
        <f>COUNTIF(Tasks!C2:C59,D5)</f>
        <v>5</v>
      </c>
    </row>
    <row r="6" spans="1:5" ht="22.95" customHeight="1" x14ac:dyDescent="0.3">
      <c r="A6" s="3" t="s">
        <v>215</v>
      </c>
      <c r="B6" s="5">
        <f>COUNTIF(Tasks!D2:D59,"Not started")</f>
        <v>3</v>
      </c>
      <c r="D6" s="6" t="s">
        <v>38</v>
      </c>
      <c r="E6" s="4">
        <f>COUNTIF(Tasks!C2:C59,D6)</f>
        <v>11</v>
      </c>
    </row>
    <row r="7" spans="1:5" ht="22.95" customHeight="1" x14ac:dyDescent="0.3">
      <c r="A7" s="3" t="s">
        <v>216</v>
      </c>
      <c r="B7" s="5">
        <f>COUNTIF(Tasks!E2:E59,"Important")</f>
        <v>8</v>
      </c>
      <c r="D7" s="6" t="s">
        <v>43</v>
      </c>
      <c r="E7" s="4">
        <f>COUNTIF(Tasks!C2:C59,D7)</f>
        <v>4</v>
      </c>
    </row>
    <row r="8" spans="1:5" ht="22.95" customHeight="1" x14ac:dyDescent="0.3">
      <c r="A8" s="3" t="s">
        <v>217</v>
      </c>
      <c r="B8" s="5">
        <f>COUNTIF(Tasks!E2:E59,"Urgent")</f>
        <v>2</v>
      </c>
      <c r="D8" s="6" t="s">
        <v>52</v>
      </c>
      <c r="E8" s="4">
        <f>COUNTIF(Tasks!C2:C59,D8)</f>
        <v>4</v>
      </c>
    </row>
    <row r="9" spans="1:5" ht="22.95" customHeight="1" x14ac:dyDescent="0.3">
      <c r="D9" s="6" t="s">
        <v>56</v>
      </c>
      <c r="E9" s="4">
        <f>COUNTIF(Tasks!C2:C59,D9)</f>
        <v>8</v>
      </c>
    </row>
    <row r="10" spans="1:5" ht="22.95" customHeight="1" x14ac:dyDescent="0.3">
      <c r="D10" s="6" t="s">
        <v>77</v>
      </c>
      <c r="E10" s="4">
        <f>COUNTIF(Tasks!C2:C59,D10)</f>
        <v>4</v>
      </c>
    </row>
    <row r="11" spans="1:5" ht="22.95" customHeight="1" x14ac:dyDescent="0.3">
      <c r="D11" s="6" t="s">
        <v>84</v>
      </c>
      <c r="E11" s="4">
        <f>COUNTIF(Tasks!C2:C59,D11)</f>
        <v>5</v>
      </c>
    </row>
    <row r="12" spans="1:5" ht="22.95" customHeight="1" x14ac:dyDescent="0.3">
      <c r="D12" s="6" t="s">
        <v>98</v>
      </c>
      <c r="E12" s="4">
        <f>COUNTIF(Tasks!C2:C59,D12)</f>
        <v>4</v>
      </c>
    </row>
    <row r="13" spans="1:5" ht="22.95" customHeight="1" x14ac:dyDescent="0.3">
      <c r="D13" s="6" t="s">
        <v>107</v>
      </c>
      <c r="E13" s="4">
        <f>COUNTIF(Tasks!C2:C59,D13)</f>
        <v>4</v>
      </c>
    </row>
    <row r="14" spans="1:5" ht="22.95" customHeight="1" x14ac:dyDescent="0.3">
      <c r="D14" s="6" t="s">
        <v>112</v>
      </c>
      <c r="E14" s="4">
        <f>COUNTIF(Tasks!C2:C59,D14)</f>
        <v>2</v>
      </c>
    </row>
    <row r="15" spans="1:5" ht="22.95" customHeight="1" x14ac:dyDescent="0.3">
      <c r="D15" s="6" t="s">
        <v>133</v>
      </c>
      <c r="E15" s="4">
        <f>COUNTIF(Tasks!C2:C59,D15)</f>
        <v>1</v>
      </c>
    </row>
    <row r="16" spans="1:5" ht="22.95" customHeight="1" x14ac:dyDescent="0.3"/>
    <row r="17" ht="22.95" customHeight="1" x14ac:dyDescent="0.3"/>
    <row r="18" ht="22.95" customHeight="1" x14ac:dyDescent="0.3"/>
    <row r="19" ht="22.95" customHeight="1" x14ac:dyDescent="0.3"/>
    <row r="20" ht="22.95" customHeight="1" x14ac:dyDescent="0.3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Plan name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divana vihani</dc:creator>
  <cp:lastModifiedBy>VIHANI W.W.G.D it22594372</cp:lastModifiedBy>
  <dcterms:created xsi:type="dcterms:W3CDTF">2026-04-30T18:20:38Z</dcterms:created>
  <dcterms:modified xsi:type="dcterms:W3CDTF">2026-04-30T18:20:38Z</dcterms:modified>
</cp:coreProperties>
</file>